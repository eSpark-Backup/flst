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flst\Deliverables\BOM\"/>
    </mc:Choice>
  </mc:AlternateContent>
  <xr:revisionPtr revIDLastSave="0" documentId="13_ncr:1_{9801F80A-5982-4D78-9AB0-01C19D8794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33" i="1" l="1"/>
  <c r="P11" i="1" l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10" i="1"/>
  <c r="B32" i="1" l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P34" i="1" l="1"/>
</calcChain>
</file>

<file path=xl/sharedStrings.xml><?xml version="1.0" encoding="utf-8"?>
<sst xmlns="http://schemas.openxmlformats.org/spreadsheetml/2006/main" count="233" uniqueCount="167">
  <si>
    <t>Component list</t>
  </si>
  <si>
    <t>Source Data From:</t>
  </si>
  <si>
    <t>Project:</t>
  </si>
  <si>
    <t>Variant:</t>
  </si>
  <si>
    <t>#</t>
  </si>
  <si>
    <t>Approved</t>
  </si>
  <si>
    <t>Notes</t>
  </si>
  <si>
    <t>Bill of Materials for Project [Oliver_Flst.PrjPcb] (No PCB Document Selected)</t>
  </si>
  <si>
    <t>Oliver_Flst.PrjPcb</t>
  </si>
  <si>
    <t>None</t>
  </si>
  <si>
    <t>Designator</t>
  </si>
  <si>
    <t>C1</t>
  </si>
  <si>
    <t>C2</t>
  </si>
  <si>
    <t>C3</t>
  </si>
  <si>
    <t>C4, C6</t>
  </si>
  <si>
    <t>C5</t>
  </si>
  <si>
    <t>D1</t>
  </si>
  <si>
    <t>J1</t>
  </si>
  <si>
    <t>L1</t>
  </si>
  <si>
    <t>L2</t>
  </si>
  <si>
    <t>P1, P2, P3, P4, P5, P6, P7, P8, P9, P10</t>
  </si>
  <si>
    <t>Q1, Q2, Q3, Q4</t>
  </si>
  <si>
    <t>R1</t>
  </si>
  <si>
    <t>R2</t>
  </si>
  <si>
    <t>R3, R8, R14, R15</t>
  </si>
  <si>
    <t>R4, R5, R6, R7, R9</t>
  </si>
  <si>
    <t>R10, R11, R12, R13, R16</t>
  </si>
  <si>
    <t>RF1</t>
  </si>
  <si>
    <t>RF2</t>
  </si>
  <si>
    <t>SW1</t>
  </si>
  <si>
    <t>U1</t>
  </si>
  <si>
    <t>U2</t>
  </si>
  <si>
    <t>U3</t>
  </si>
  <si>
    <t>U4</t>
  </si>
  <si>
    <t>Description</t>
  </si>
  <si>
    <t>CAP TANT 100UF 20% 25V 2917</t>
  </si>
  <si>
    <t>470uF ±20% 50V 12.5mm 13.5mm 1000hrs 105℃ -40℃~+105℃ SMD,12.5x13.5mm Aluminum Electrolytic Capacitors - SMD RoHS</t>
  </si>
  <si>
    <t>CAP CER 470pF 10% X7R 50V 0603 SMD</t>
  </si>
  <si>
    <t>CAP CER 0.1UF 50V Y5V 0603</t>
  </si>
  <si>
    <t>CAP CER 1UF 25V X5R 0603</t>
  </si>
  <si>
    <t>40V 500mV@2A 2A SMA(DO-214AC) Schottky Barrier Diodes (SBD) ROHS</t>
  </si>
  <si>
    <t>Pin Header 5 1 right-angle</t>
  </si>
  <si>
    <t>Inductor Power Shielded Wirewound 220uH 20% 1KHz Ferrite 1.3A 310mOhm DCR Blister T/R</t>
  </si>
  <si>
    <t>FERRITE BEAD 600 OHM 0201 1LN</t>
  </si>
  <si>
    <t>CONN HEADER VERT 2POS 2.54MM</t>
  </si>
  <si>
    <t>MOSFET N-CH 130V 1A SOT23</t>
  </si>
  <si>
    <t>0.33Ω 0603 Chip Resistor - Surface Mount ROHS</t>
  </si>
  <si>
    <t>RES SMD 4.7K OHM 1% 1/10W 0603</t>
  </si>
  <si>
    <t>RES SMD 10K OHM 1% 1/20W 0201</t>
  </si>
  <si>
    <t>RES SMD 3.3K OHM 1% 1/10W 0603</t>
  </si>
  <si>
    <t>RES SMD 2K OHM 1% 1/10W 0603</t>
  </si>
  <si>
    <t>±1% 1/10W Thick Film Resistors 75V ±100ppm/℃ -55℃~+155℃ 1.2kΩ 0603 Chip Resistor - Surface Mount ROHS</t>
  </si>
  <si>
    <t>3mm 2mm Round Button 50mA Top3.65mm SPST 12V SMD Tactile Switches</t>
  </si>
  <si>
    <t>1.5-A boost, buck, inverting switching regulator, operation from 0°C to 70°C 8-SOIC 0 to 70</t>
  </si>
  <si>
    <t>IC MCU 8BIT 16KB FLASH 20VQFN</t>
  </si>
  <si>
    <t>OPTOISO 3.75KV 4CH TRANS 16SO</t>
  </si>
  <si>
    <t>TransistorOptocouplers DC 1 2500Vrms SOP-4_P1.27 Optocouplers RoHS</t>
  </si>
  <si>
    <t>Footprint</t>
  </si>
  <si>
    <t>CAP- 2917</t>
  </si>
  <si>
    <t>VKMD1001J101MV</t>
  </si>
  <si>
    <t>Cap0603</t>
  </si>
  <si>
    <t>SMA</t>
  </si>
  <si>
    <t>HDR1X5</t>
  </si>
  <si>
    <t>SLF12575T-221M1R3-PF</t>
  </si>
  <si>
    <t>IND 0201</t>
  </si>
  <si>
    <t>HDR1X2</t>
  </si>
  <si>
    <t>SOT23-3</t>
  </si>
  <si>
    <t>RES-0603</t>
  </si>
  <si>
    <t>Res-0201</t>
  </si>
  <si>
    <t>TS-1185EC-C-D-B</t>
  </si>
  <si>
    <t>SOIC-8</t>
  </si>
  <si>
    <t>20-QFN</t>
  </si>
  <si>
    <t>LTV-247</t>
  </si>
  <si>
    <t>PS2801C-1-F3-A</t>
  </si>
  <si>
    <t>Manufacturer Part Number</t>
  </si>
  <si>
    <t>TAJE107M025RNJ</t>
  </si>
  <si>
    <t>CC0603KRX7R9BB471</t>
  </si>
  <si>
    <t>CC0603ZRY5V9BB104</t>
  </si>
  <si>
    <t>CC0603KRX5R8BB105</t>
  </si>
  <si>
    <t>MMZ0603S601CT000</t>
  </si>
  <si>
    <t>DMN13H750S-7</t>
  </si>
  <si>
    <t>RC0603FR-074K7L</t>
  </si>
  <si>
    <t>RC0201FR-0710KL</t>
  </si>
  <si>
    <t>RC0603FR-073K3L</t>
  </si>
  <si>
    <t>RC0603FR-072KL</t>
  </si>
  <si>
    <t>MC34063ADR</t>
  </si>
  <si>
    <t>ATTINY1616-MNR</t>
  </si>
  <si>
    <t>Manufacturer</t>
  </si>
  <si>
    <t>Kyocera AVX</t>
  </si>
  <si>
    <t>Changzhou Huawei Elec</t>
  </si>
  <si>
    <t>Yageo</t>
  </si>
  <si>
    <t>Yangzhou</t>
  </si>
  <si>
    <t>XFCN</t>
  </si>
  <si>
    <t>TDK</t>
  </si>
  <si>
    <t>Wurth Electronics</t>
  </si>
  <si>
    <t>Diodes</t>
  </si>
  <si>
    <t>RALEC</t>
  </si>
  <si>
    <t>Yageo Phycomp</t>
  </si>
  <si>
    <t>UNI-ROYAL</t>
  </si>
  <si>
    <t>XKB</t>
  </si>
  <si>
    <t>Texas Instruments</t>
  </si>
  <si>
    <t>Microchip</t>
  </si>
  <si>
    <t>Vishay Lite-On</t>
  </si>
  <si>
    <t>CEL</t>
  </si>
  <si>
    <t>Comment</t>
  </si>
  <si>
    <t>100uF</t>
  </si>
  <si>
    <t>470uF</t>
  </si>
  <si>
    <t>470pF</t>
  </si>
  <si>
    <t>0.1uF</t>
  </si>
  <si>
    <t>1uF</t>
  </si>
  <si>
    <t>SS24A</t>
  </si>
  <si>
    <t>PZ254V-11-05P</t>
  </si>
  <si>
    <t>220uH</t>
  </si>
  <si>
    <t>0.33R</t>
  </si>
  <si>
    <t>4.7K</t>
  </si>
  <si>
    <t>10K</t>
  </si>
  <si>
    <t>3.3K</t>
  </si>
  <si>
    <t>2K</t>
  </si>
  <si>
    <t>1.2K</t>
  </si>
  <si>
    <t>Quantity</t>
  </si>
  <si>
    <t xml:space="preserve">Alternate Part No </t>
  </si>
  <si>
    <t>LCSC/Part No</t>
  </si>
  <si>
    <t>Custom</t>
  </si>
  <si>
    <t>Quantity/5 Boards</t>
  </si>
  <si>
    <t>LCSC/MOQ/5 Boards</t>
  </si>
  <si>
    <t>Links</t>
  </si>
  <si>
    <t>Unit Cost/5 Boards</t>
  </si>
  <si>
    <t>Total Cost/5 Boards</t>
  </si>
  <si>
    <t>C7230</t>
  </si>
  <si>
    <t>C191227</t>
  </si>
  <si>
    <t>C107092</t>
  </si>
  <si>
    <t>C106221</t>
  </si>
  <si>
    <t>C14664</t>
  </si>
  <si>
    <t>LCSC</t>
  </si>
  <si>
    <t>Remarks</t>
  </si>
  <si>
    <t>C211773</t>
  </si>
  <si>
    <t>--------</t>
  </si>
  <si>
    <t>C492404</t>
  </si>
  <si>
    <t>C93225</t>
  </si>
  <si>
    <t>C275404</t>
  </si>
  <si>
    <t>C390678</t>
  </si>
  <si>
    <t>210-91-02GB01</t>
  </si>
  <si>
    <t>C156273</t>
  </si>
  <si>
    <t>RTT03R330FTP</t>
  </si>
  <si>
    <t>C103893</t>
  </si>
  <si>
    <t>C99782</t>
  </si>
  <si>
    <t>C106225</t>
  </si>
  <si>
    <t>C108078</t>
  </si>
  <si>
    <t>C105576</t>
  </si>
  <si>
    <t>C22765</t>
  </si>
  <si>
    <t>0603WAF1201T5E</t>
  </si>
  <si>
    <t>-------</t>
  </si>
  <si>
    <t>C318893</t>
  </si>
  <si>
    <t>C100023</t>
  </si>
  <si>
    <t>C507118</t>
  </si>
  <si>
    <t>C115451</t>
  </si>
  <si>
    <t>C67112</t>
  </si>
  <si>
    <t>-----------</t>
  </si>
  <si>
    <t xml:space="preserve">Total Component Cost </t>
  </si>
  <si>
    <t>Single Board Cost</t>
  </si>
  <si>
    <t>16SO</t>
  </si>
  <si>
    <t>SOP-4</t>
  </si>
  <si>
    <t>RES SMD 536 OHM 1% 1/4W 1206</t>
  </si>
  <si>
    <t>RES-1206</t>
  </si>
  <si>
    <t>C229696</t>
  </si>
  <si>
    <t>536R</t>
  </si>
  <si>
    <t>AC1206FR-07536RL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</si>
</sst>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:ss\ AM/PM;@"/>
    <numFmt numFmtId="165" formatCode="&quot;$&quot;#,##0.0000"/>
    <numFmt numFmtId="166" formatCode="&quot;$&quot;#,##0.00"/>
  </numFmts>
  <fonts count="25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4"/>
      <name val="Calibri"/>
      <family val="2"/>
      <scheme val="minor"/>
    </font>
    <font>
      <strike/>
      <sz val="1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6795556505021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93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7" fillId="3" borderId="12" xfId="0" applyFont="1" applyFill="1" applyBorder="1" applyAlignment="1">
      <alignment vertical="center"/>
    </xf>
    <xf numFmtId="0" fontId="8" fillId="3" borderId="0" xfId="0" applyFont="1" applyFill="1" applyBorder="1" applyAlignment="1"/>
    <xf numFmtId="0" fontId="9" fillId="3" borderId="5" xfId="0" applyFont="1" applyFill="1" applyBorder="1" applyAlignment="1"/>
    <xf numFmtId="0" fontId="9" fillId="3" borderId="6" xfId="0" applyFont="1" applyFill="1" applyBorder="1" applyAlignment="1"/>
    <xf numFmtId="0" fontId="10" fillId="3" borderId="0" xfId="0" applyFont="1" applyFill="1" applyBorder="1" applyAlignment="1"/>
    <xf numFmtId="0" fontId="12" fillId="3" borderId="3" xfId="0" applyNumberFormat="1" applyFont="1" applyFill="1" applyBorder="1" applyAlignment="1" applyProtection="1">
      <alignment horizontal="left" vertical="top"/>
      <protection locked="0"/>
    </xf>
    <xf numFmtId="0" fontId="13" fillId="3" borderId="3" xfId="0" applyNumberFormat="1" applyFont="1" applyFill="1" applyBorder="1" applyAlignment="1" applyProtection="1">
      <alignment horizontal="left" vertical="top"/>
      <protection locked="0"/>
    </xf>
    <xf numFmtId="0" fontId="15" fillId="3" borderId="11" xfId="0" applyFont="1" applyFill="1" applyBorder="1" applyAlignment="1">
      <alignment vertical="center"/>
    </xf>
    <xf numFmtId="0" fontId="16" fillId="3" borderId="12" xfId="0" applyFont="1" applyFill="1" applyBorder="1" applyAlignment="1">
      <alignment vertical="center"/>
    </xf>
    <xf numFmtId="0" fontId="12" fillId="3" borderId="0" xfId="0" applyFont="1" applyFill="1" applyBorder="1" applyAlignment="1"/>
    <xf numFmtId="0" fontId="14" fillId="3" borderId="6" xfId="0" applyFont="1" applyFill="1" applyBorder="1" applyAlignment="1"/>
    <xf numFmtId="0" fontId="14" fillId="3" borderId="5" xfId="0" applyFont="1" applyFill="1" applyBorder="1" applyAlignment="1"/>
    <xf numFmtId="0" fontId="12" fillId="3" borderId="5" xfId="0" applyFont="1" applyFill="1" applyBorder="1" applyAlignment="1"/>
    <xf numFmtId="0" fontId="14" fillId="3" borderId="5" xfId="0" applyFont="1" applyFill="1" applyBorder="1" applyAlignment="1">
      <alignment horizontal="left"/>
    </xf>
    <xf numFmtId="0" fontId="17" fillId="3" borderId="0" xfId="0" applyFont="1" applyFill="1" applyBorder="1" applyAlignment="1"/>
    <xf numFmtId="0" fontId="14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4" fillId="3" borderId="14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12" fillId="3" borderId="0" xfId="0" applyNumberFormat="1" applyFont="1" applyFill="1" applyBorder="1" applyAlignment="1" applyProtection="1">
      <alignment vertical="center"/>
      <protection locked="0"/>
    </xf>
    <xf numFmtId="0" fontId="13" fillId="3" borderId="0" xfId="0" applyNumberFormat="1" applyFont="1" applyFill="1" applyBorder="1" applyAlignment="1" applyProtection="1">
      <alignment horizontal="left" vertical="center"/>
      <protection locked="0"/>
    </xf>
    <xf numFmtId="0" fontId="0" fillId="3" borderId="0" xfId="0" applyFont="1" applyFill="1" applyBorder="1" applyAlignment="1">
      <alignment vertical="center"/>
    </xf>
    <xf numFmtId="0" fontId="0" fillId="3" borderId="0" xfId="0" applyFont="1" applyFill="1" applyBorder="1"/>
    <xf numFmtId="0" fontId="12" fillId="3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15" xfId="0" applyFont="1" applyFill="1" applyBorder="1"/>
    <xf numFmtId="0" fontId="16" fillId="3" borderId="12" xfId="0" quotePrefix="1" applyFont="1" applyFill="1" applyBorder="1" applyAlignment="1">
      <alignment vertical="center"/>
    </xf>
    <xf numFmtId="0" fontId="12" fillId="3" borderId="0" xfId="0" quotePrefix="1" applyFont="1" applyFill="1" applyBorder="1" applyAlignment="1">
      <alignment horizontal="left"/>
    </xf>
    <xf numFmtId="0" fontId="12" fillId="3" borderId="6" xfId="0" quotePrefix="1" applyFont="1" applyFill="1" applyBorder="1" applyAlignment="1">
      <alignment horizontal="left"/>
    </xf>
    <xf numFmtId="0" fontId="12" fillId="3" borderId="5" xfId="0" quotePrefix="1" applyFont="1" applyFill="1" applyBorder="1" applyAlignment="1">
      <alignment horizontal="left"/>
    </xf>
    <xf numFmtId="0" fontId="5" fillId="3" borderId="7" xfId="0" applyFont="1" applyFill="1" applyBorder="1" applyAlignment="1">
      <alignment horizontal="center"/>
    </xf>
    <xf numFmtId="0" fontId="14" fillId="3" borderId="0" xfId="0" applyFont="1" applyFill="1" applyBorder="1" applyAlignment="1"/>
    <xf numFmtId="164" fontId="14" fillId="3" borderId="0" xfId="0" applyNumberFormat="1" applyFont="1" applyFill="1" applyBorder="1" applyAlignment="1">
      <alignment horizontal="left"/>
    </xf>
    <xf numFmtId="0" fontId="18" fillId="5" borderId="16" xfId="0" applyFont="1" applyFill="1" applyBorder="1" applyAlignment="1">
      <alignment horizontal="center" vertical="center"/>
    </xf>
    <xf numFmtId="165" fontId="19" fillId="4" borderId="0" xfId="0" applyNumberFormat="1" applyFont="1" applyFill="1" applyBorder="1" applyAlignment="1">
      <alignment horizontal="center" vertical="center"/>
    </xf>
    <xf numFmtId="0" fontId="0" fillId="4" borderId="18" xfId="0" applyFont="1" applyFill="1" applyBorder="1" applyAlignment="1">
      <alignment horizontal="center"/>
    </xf>
    <xf numFmtId="0" fontId="0" fillId="3" borderId="19" xfId="0" applyFont="1" applyFill="1" applyBorder="1"/>
    <xf numFmtId="0" fontId="11" fillId="3" borderId="0" xfId="0" quotePrefix="1" applyFont="1" applyFill="1" applyBorder="1" applyAlignment="1">
      <alignment horizontal="center" vertical="center" wrapText="1"/>
    </xf>
    <xf numFmtId="0" fontId="18" fillId="5" borderId="13" xfId="0" applyFont="1" applyFill="1" applyBorder="1" applyAlignment="1">
      <alignment horizontal="center" vertical="center"/>
    </xf>
    <xf numFmtId="0" fontId="0" fillId="0" borderId="20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18" fillId="5" borderId="12" xfId="0" applyFont="1" applyFill="1" applyBorder="1" applyAlignment="1">
      <alignment horizontal="center" vertical="center"/>
    </xf>
    <xf numFmtId="165" fontId="19" fillId="0" borderId="27" xfId="0" applyNumberFormat="1" applyFont="1" applyBorder="1" applyAlignment="1">
      <alignment horizontal="center" vertical="center"/>
    </xf>
    <xf numFmtId="165" fontId="19" fillId="4" borderId="6" xfId="0" applyNumberFormat="1" applyFont="1" applyFill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165" fontId="19" fillId="0" borderId="5" xfId="0" applyNumberFormat="1" applyFont="1" applyBorder="1" applyAlignment="1">
      <alignment horizontal="center" vertical="center"/>
    </xf>
    <xf numFmtId="165" fontId="19" fillId="4" borderId="5" xfId="0" applyNumberFormat="1" applyFont="1" applyFill="1" applyBorder="1" applyAlignment="1">
      <alignment horizontal="center" vertical="center"/>
    </xf>
    <xf numFmtId="165" fontId="19" fillId="4" borderId="1" xfId="0" applyNumberFormat="1" applyFont="1" applyFill="1" applyBorder="1" applyAlignment="1">
      <alignment horizontal="center" vertical="center"/>
    </xf>
    <xf numFmtId="165" fontId="19" fillId="0" borderId="1" xfId="0" applyNumberFormat="1" applyFont="1" applyBorder="1" applyAlignment="1">
      <alignment horizontal="center" vertical="center"/>
    </xf>
    <xf numFmtId="0" fontId="22" fillId="0" borderId="24" xfId="1" applyFont="1" applyBorder="1" applyAlignment="1">
      <alignment horizontal="center" vertical="center"/>
    </xf>
    <xf numFmtId="0" fontId="22" fillId="6" borderId="23" xfId="1" applyFont="1" applyFill="1" applyBorder="1" applyAlignment="1">
      <alignment horizontal="center" vertical="center"/>
    </xf>
    <xf numFmtId="0" fontId="22" fillId="0" borderId="23" xfId="1" applyFont="1" applyBorder="1" applyAlignment="1">
      <alignment horizontal="center" vertical="center"/>
    </xf>
    <xf numFmtId="0" fontId="22" fillId="4" borderId="23" xfId="1" applyFont="1" applyFill="1" applyBorder="1" applyAlignment="1">
      <alignment horizontal="center" vertical="center"/>
    </xf>
    <xf numFmtId="0" fontId="22" fillId="0" borderId="21" xfId="1" applyFont="1" applyBorder="1" applyAlignment="1">
      <alignment horizontal="center" vertical="center"/>
    </xf>
    <xf numFmtId="0" fontId="22" fillId="4" borderId="21" xfId="1" applyFont="1" applyFill="1" applyBorder="1" applyAlignment="1">
      <alignment horizontal="center" vertical="center"/>
    </xf>
    <xf numFmtId="0" fontId="22" fillId="0" borderId="28" xfId="1" applyFont="1" applyBorder="1" applyAlignment="1">
      <alignment horizontal="center" vertical="center"/>
    </xf>
    <xf numFmtId="0" fontId="22" fillId="4" borderId="28" xfId="1" applyFont="1" applyFill="1" applyBorder="1" applyAlignment="1">
      <alignment horizontal="center" vertical="center"/>
    </xf>
    <xf numFmtId="0" fontId="22" fillId="0" borderId="25" xfId="1" applyFont="1" applyBorder="1" applyAlignment="1">
      <alignment horizontal="center" vertical="center"/>
    </xf>
    <xf numFmtId="0" fontId="11" fillId="3" borderId="20" xfId="0" quotePrefix="1" applyFont="1" applyFill="1" applyBorder="1" applyAlignment="1">
      <alignment horizontal="center" vertical="center" wrapText="1"/>
    </xf>
    <xf numFmtId="165" fontId="19" fillId="0" borderId="29" xfId="0" applyNumberFormat="1" applyFont="1" applyBorder="1" applyAlignment="1">
      <alignment horizontal="center" vertical="center"/>
    </xf>
    <xf numFmtId="0" fontId="0" fillId="0" borderId="15" xfId="0" applyFont="1" applyBorder="1" applyAlignment="1">
      <alignment horizontal="center"/>
    </xf>
    <xf numFmtId="0" fontId="13" fillId="2" borderId="21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4" borderId="23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166" fontId="16" fillId="3" borderId="21" xfId="0" quotePrefix="1" applyNumberFormat="1" applyFont="1" applyFill="1" applyBorder="1" applyAlignment="1">
      <alignment horizontal="center" vertical="center" wrapText="1"/>
    </xf>
    <xf numFmtId="166" fontId="20" fillId="0" borderId="21" xfId="0" applyNumberFormat="1" applyFont="1" applyBorder="1" applyAlignment="1">
      <alignment horizontal="center" vertical="center"/>
    </xf>
    <xf numFmtId="166" fontId="20" fillId="4" borderId="21" xfId="0" applyNumberFormat="1" applyFont="1" applyFill="1" applyBorder="1" applyAlignment="1">
      <alignment horizontal="center" vertical="center"/>
    </xf>
    <xf numFmtId="166" fontId="20" fillId="0" borderId="22" xfId="0" applyNumberFormat="1" applyFont="1" applyBorder="1" applyAlignment="1">
      <alignment horizontal="center" vertical="center"/>
    </xf>
    <xf numFmtId="166" fontId="20" fillId="4" borderId="23" xfId="0" applyNumberFormat="1" applyFont="1" applyFill="1" applyBorder="1" applyAlignment="1">
      <alignment horizontal="center" vertical="center"/>
    </xf>
    <xf numFmtId="166" fontId="20" fillId="0" borderId="26" xfId="0" applyNumberFormat="1" applyFont="1" applyBorder="1" applyAlignment="1">
      <alignment horizontal="center" vertical="center"/>
    </xf>
    <xf numFmtId="166" fontId="0" fillId="0" borderId="0" xfId="0" applyNumberFormat="1"/>
    <xf numFmtId="166" fontId="16" fillId="3" borderId="25" xfId="0" applyNumberFormat="1" applyFont="1" applyFill="1" applyBorder="1" applyAlignment="1">
      <alignment horizontal="center" vertical="center"/>
    </xf>
    <xf numFmtId="0" fontId="21" fillId="4" borderId="23" xfId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 wrapText="1"/>
    </xf>
    <xf numFmtId="0" fontId="23" fillId="3" borderId="17" xfId="0" applyFont="1" applyFill="1" applyBorder="1" applyAlignment="1" applyProtection="1">
      <alignment horizontal="center" vertical="top"/>
      <protection locked="0"/>
    </xf>
    <xf numFmtId="0" fontId="23" fillId="3" borderId="12" xfId="0" applyFont="1" applyFill="1" applyBorder="1" applyAlignment="1" applyProtection="1">
      <alignment horizontal="center" vertical="top"/>
      <protection locked="0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23" fillId="3" borderId="14" xfId="0" applyFont="1" applyFill="1" applyBorder="1" applyAlignment="1" applyProtection="1">
      <alignment horizontal="center" vertical="top"/>
      <protection locked="0"/>
    </xf>
    <xf numFmtId="0" fontId="23" fillId="3" borderId="3" xfId="0" applyFont="1" applyFill="1" applyBorder="1" applyAlignment="1" applyProtection="1">
      <alignment horizontal="center" vertical="top"/>
      <protection locked="0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9525</xdr:colOff>
      <xdr:row>2</xdr:row>
      <xdr:rowOff>10416</xdr:rowOff>
    </xdr:from>
    <xdr:ext cx="1752600" cy="1113533"/>
    <xdr:pic>
      <xdr:nvPicPr>
        <xdr:cNvPr id="7" name="Picture 6">
          <a:extLst>
            <a:ext uri="{FF2B5EF4-FFF2-40B4-BE49-F238E27FC236}">
              <a16:creationId xmlns:a16="http://schemas.microsoft.com/office/drawing/2014/main" id="{E6185E7D-DE3B-44DE-A2D2-2D34B2368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574625" y="620016"/>
          <a:ext cx="1752600" cy="111353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csc.com/product-detail/Power-Inductors_TDK-SLF12575T-221M1R3-PF_C93225.html" TargetMode="External"/><Relationship Id="rId13" Type="http://schemas.openxmlformats.org/officeDocument/2006/relationships/hyperlink" Target="https://lcsc.com/product-detail/Chip-Resistor-Surface-Mount_YAGEO-RC0603FR-074K7L_C99782.html" TargetMode="External"/><Relationship Id="rId18" Type="http://schemas.openxmlformats.org/officeDocument/2006/relationships/hyperlink" Target="https://lcsc.com/product-detail/Tactile-Switches_XKB-Connectivity-TS-1185EC-C-D-B_C318893.html" TargetMode="External"/><Relationship Id="rId3" Type="http://schemas.openxmlformats.org/officeDocument/2006/relationships/hyperlink" Target="https://lcsc.com/product-detail/Multilayer-Ceramic-Capacitors-MLCC-SMD-SMT_YAGEO-CC0603KRX7R9BB471_C107092.html" TargetMode="External"/><Relationship Id="rId21" Type="http://schemas.openxmlformats.org/officeDocument/2006/relationships/hyperlink" Target="https://lcsc.com/product-detail/Optocouplers-Phototransistor-Output_Lite-On-LTV-247_C115451.html" TargetMode="External"/><Relationship Id="rId7" Type="http://schemas.openxmlformats.org/officeDocument/2006/relationships/hyperlink" Target="https://lcsc.com/product-detail/Pin-Headers_XFCN-PZ254V-11-05P_C492404.html" TargetMode="External"/><Relationship Id="rId12" Type="http://schemas.openxmlformats.org/officeDocument/2006/relationships/hyperlink" Target="https://lcsc.com/product-detail/Chip-Resistor-Surface-Mount_RALEC-RTT03R330FTP_C103893.html" TargetMode="External"/><Relationship Id="rId17" Type="http://schemas.openxmlformats.org/officeDocument/2006/relationships/hyperlink" Target="https://lcsc.com/product-detail/Chip-Resistor-Surface-Mount_UNI-ROYAL-Uniroyal-Elec-0603WAF1201T5E_C22765.html" TargetMode="External"/><Relationship Id="rId25" Type="http://schemas.openxmlformats.org/officeDocument/2006/relationships/drawing" Target="../drawings/drawing1.xml"/><Relationship Id="rId2" Type="http://schemas.openxmlformats.org/officeDocument/2006/relationships/hyperlink" Target="https://lcsc.com/product-detail/Aluminum-Electrolytic-Capacitors-SMD_Changzhou-Huawei-Elec-VT1H471MI135000CE0_C191227.html" TargetMode="External"/><Relationship Id="rId16" Type="http://schemas.openxmlformats.org/officeDocument/2006/relationships/hyperlink" Target="https://lcsc.com/product-detail/Chip-Resistor-Surface-Mount_YAGEO-RC0603FR-072KL_C105576.html" TargetMode="External"/><Relationship Id="rId20" Type="http://schemas.openxmlformats.org/officeDocument/2006/relationships/hyperlink" Target="https://lcsc.com/product-detail/MICROCHIP_Microchip-Tech-ATTINY1616-MNR_C507118.html" TargetMode="External"/><Relationship Id="rId1" Type="http://schemas.openxmlformats.org/officeDocument/2006/relationships/hyperlink" Target="https://lcsc.com/product-detail/Tantalum-Capacitors_AVX-TAJE107M025RNJ_C7230.html" TargetMode="External"/><Relationship Id="rId6" Type="http://schemas.openxmlformats.org/officeDocument/2006/relationships/hyperlink" Target="https://lcsc.com/product-detail/Schottky-Barrier-Diodes-SBD_Yangzhou-Yangjie-Elec-Tech-SS24A_C211773.html" TargetMode="External"/><Relationship Id="rId11" Type="http://schemas.openxmlformats.org/officeDocument/2006/relationships/hyperlink" Target="https://lcsc.com/product-detail/MOSFETs_Diodes-Incorporated-DMN13H750S-7_C156273.html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lcsc.com/product-detail/Multilayer-Ceramic-Capacitors-MLCC-SMD-SMT_YAGEO-CC0603KRX5R8BB105_C14664.html" TargetMode="External"/><Relationship Id="rId15" Type="http://schemas.openxmlformats.org/officeDocument/2006/relationships/hyperlink" Target="https://lcsc.com/product-detail/Chip-Resistor-Surface-Mount_YAGEO-RC0603FR-073K3L_C108078.html" TargetMode="External"/><Relationship Id="rId23" Type="http://schemas.openxmlformats.org/officeDocument/2006/relationships/hyperlink" Target="https://lcsc.com/product-detail/Chip-Resistor-Surface-Mount_YAGEO-AC1206FR-07536RL_C229696.html" TargetMode="External"/><Relationship Id="rId10" Type="http://schemas.openxmlformats.org/officeDocument/2006/relationships/hyperlink" Target="https://lcsc.com/product-detail/Pin-Headers_PINREX-210-91-02GB01_C390678.html" TargetMode="External"/><Relationship Id="rId19" Type="http://schemas.openxmlformats.org/officeDocument/2006/relationships/hyperlink" Target="https://lcsc.com/product-detail/DC-DC-Converters_Texas-Instruments-MC34063ADR_C100023.html" TargetMode="External"/><Relationship Id="rId4" Type="http://schemas.openxmlformats.org/officeDocument/2006/relationships/hyperlink" Target="https://lcsc.com/product-detail/Multilayer-Ceramic-Capacitors-MLCC-SMD-SMT_YAGEO-CC0603ZRY5V9BB104_C106221.html" TargetMode="External"/><Relationship Id="rId9" Type="http://schemas.openxmlformats.org/officeDocument/2006/relationships/hyperlink" Target="https://lcsc.com/product-detail/Ferrite-Beads_TDK-MMZ0603S601CT000_C275404.html" TargetMode="External"/><Relationship Id="rId14" Type="http://schemas.openxmlformats.org/officeDocument/2006/relationships/hyperlink" Target="https://lcsc.com/product-detail/Chip-Resistor-Surface-Mount_YAGEO-RC0201FR-0710KL_C106225.html" TargetMode="External"/><Relationship Id="rId22" Type="http://schemas.openxmlformats.org/officeDocument/2006/relationships/hyperlink" Target="https://lcsc.com/product-detail/Optocouplers-Phototransistor-Output_RENESAS-PS2801C-1-F3-A_C6711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38"/>
  <sheetViews>
    <sheetView tabSelected="1" zoomScale="130" zoomScaleNormal="130" workbookViewId="0">
      <selection activeCell="D14" sqref="D14"/>
    </sheetView>
  </sheetViews>
  <sheetFormatPr defaultRowHeight="15" x14ac:dyDescent="0.25"/>
  <cols>
    <col min="2" max="2" width="3.140625" style="25" customWidth="1"/>
    <col min="3" max="3" width="22.85546875" customWidth="1"/>
    <col min="4" max="4" width="26.42578125" customWidth="1"/>
    <col min="5" max="5" width="20.42578125" customWidth="1"/>
    <col min="6" max="6" width="25.28515625" bestFit="1" customWidth="1"/>
    <col min="7" max="7" width="17" bestFit="1" customWidth="1"/>
    <col min="8" max="8" width="18.85546875" bestFit="1" customWidth="1"/>
    <col min="9" max="9" width="12.5703125" bestFit="1" customWidth="1"/>
    <col min="10" max="10" width="9.7109375" bestFit="1" customWidth="1"/>
    <col min="11" max="11" width="8.7109375" bestFit="1" customWidth="1"/>
    <col min="12" max="12" width="17.28515625" bestFit="1" customWidth="1"/>
    <col min="13" max="13" width="19.28515625" bestFit="1" customWidth="1"/>
    <col min="14" max="14" width="5.42578125" bestFit="1" customWidth="1"/>
    <col min="15" max="15" width="17.7109375" bestFit="1" customWidth="1"/>
    <col min="16" max="16" width="18.28515625" bestFit="1" customWidth="1"/>
    <col min="17" max="17" width="26.85546875" bestFit="1" customWidth="1"/>
  </cols>
  <sheetData>
    <row r="1" spans="1:17" ht="15.75" thickBot="1" x14ac:dyDescent="0.3">
      <c r="A1" s="1"/>
      <c r="B1" s="19"/>
      <c r="C1" s="2"/>
      <c r="D1" s="2"/>
      <c r="E1" s="2"/>
      <c r="F1" s="2"/>
      <c r="G1" s="2"/>
      <c r="H1" s="2"/>
      <c r="I1" s="2"/>
      <c r="J1" s="91"/>
      <c r="K1" s="91"/>
      <c r="L1" s="92"/>
    </row>
    <row r="2" spans="1:17" ht="32.25" thickBot="1" x14ac:dyDescent="0.3">
      <c r="A2" s="1"/>
      <c r="B2" s="20"/>
      <c r="C2" s="10" t="s">
        <v>0</v>
      </c>
      <c r="D2" s="10"/>
      <c r="E2" s="32" t="s">
        <v>7</v>
      </c>
      <c r="F2" s="11"/>
      <c r="G2" s="11"/>
      <c r="H2" s="3"/>
      <c r="I2" s="3"/>
      <c r="J2" s="3"/>
      <c r="K2" s="3"/>
      <c r="L2" s="85"/>
      <c r="M2" s="85"/>
      <c r="N2" s="85"/>
      <c r="O2" s="85"/>
      <c r="P2" s="85"/>
      <c r="Q2" s="86"/>
    </row>
    <row r="3" spans="1:17" x14ac:dyDescent="0.25">
      <c r="A3" s="1"/>
      <c r="B3" s="21"/>
      <c r="C3" s="12" t="s">
        <v>1</v>
      </c>
      <c r="D3" s="12"/>
      <c r="E3" s="33" t="s">
        <v>8</v>
      </c>
      <c r="F3" s="12"/>
      <c r="G3" s="12"/>
      <c r="H3" s="4"/>
      <c r="I3" s="4"/>
      <c r="J3" s="4"/>
      <c r="K3" s="5"/>
      <c r="L3" s="5"/>
      <c r="M3" s="5"/>
      <c r="N3" s="5"/>
      <c r="O3" s="5"/>
      <c r="P3" s="5"/>
      <c r="Q3" s="87"/>
    </row>
    <row r="4" spans="1:17" x14ac:dyDescent="0.25">
      <c r="A4" s="1"/>
      <c r="B4" s="21"/>
      <c r="C4" s="12" t="s">
        <v>2</v>
      </c>
      <c r="D4" s="12"/>
      <c r="E4" s="34" t="s">
        <v>8</v>
      </c>
      <c r="F4" s="13"/>
      <c r="G4" s="13"/>
      <c r="H4" s="6"/>
      <c r="I4" s="6"/>
      <c r="J4" s="6"/>
      <c r="K4" s="5"/>
      <c r="L4" s="5"/>
      <c r="M4" s="5"/>
      <c r="N4" s="5"/>
      <c r="O4" s="5"/>
      <c r="P4" s="5"/>
      <c r="Q4" s="88"/>
    </row>
    <row r="5" spans="1:17" x14ac:dyDescent="0.25">
      <c r="A5" s="1"/>
      <c r="B5" s="21"/>
      <c r="C5" s="12" t="s">
        <v>3</v>
      </c>
      <c r="D5" s="12"/>
      <c r="E5" s="35" t="s">
        <v>9</v>
      </c>
      <c r="F5" s="14"/>
      <c r="G5" s="14"/>
      <c r="H5" s="5"/>
      <c r="I5" s="5"/>
      <c r="J5" s="5"/>
      <c r="K5" s="5"/>
      <c r="L5" s="5"/>
      <c r="M5" s="5"/>
      <c r="N5" s="5"/>
      <c r="O5" s="5"/>
      <c r="P5" s="5"/>
      <c r="Q5" s="88"/>
    </row>
    <row r="6" spans="1:17" x14ac:dyDescent="0.25">
      <c r="A6" s="1"/>
      <c r="B6" s="22"/>
      <c r="C6" s="15"/>
      <c r="D6" s="15"/>
      <c r="E6" s="16"/>
      <c r="F6" s="14"/>
      <c r="G6" s="14"/>
      <c r="H6" s="5"/>
      <c r="I6" s="5"/>
      <c r="J6" s="5"/>
      <c r="K6" s="5"/>
      <c r="L6" s="5"/>
      <c r="M6" s="5"/>
      <c r="N6" s="5"/>
      <c r="O6" s="5"/>
      <c r="P6" s="5"/>
      <c r="Q6" s="88"/>
    </row>
    <row r="7" spans="1:17" x14ac:dyDescent="0.25">
      <c r="A7" s="1"/>
      <c r="B7" s="23"/>
      <c r="C7" s="17"/>
      <c r="D7" s="17"/>
      <c r="E7" s="18"/>
      <c r="F7" s="17"/>
      <c r="G7" s="17"/>
      <c r="H7" s="7"/>
      <c r="I7" s="7"/>
      <c r="J7" s="7"/>
      <c r="K7" s="7"/>
      <c r="L7" s="7"/>
      <c r="M7" s="7"/>
      <c r="N7" s="7"/>
      <c r="O7" s="7"/>
      <c r="P7" s="7"/>
      <c r="Q7" s="88"/>
    </row>
    <row r="8" spans="1:17" ht="15.75" thickBot="1" x14ac:dyDescent="0.3">
      <c r="A8" s="1"/>
      <c r="B8" s="36"/>
      <c r="C8" s="37"/>
      <c r="D8" s="37"/>
      <c r="E8" s="38"/>
      <c r="F8" s="17"/>
      <c r="G8" s="17"/>
      <c r="H8" s="7"/>
      <c r="I8" s="7"/>
      <c r="J8" s="7"/>
      <c r="K8" s="7"/>
      <c r="L8" s="7"/>
      <c r="M8" s="7"/>
      <c r="N8" s="7"/>
      <c r="O8" s="7"/>
      <c r="P8" s="7"/>
      <c r="Q8" s="88"/>
    </row>
    <row r="9" spans="1:17" ht="15.75" thickBot="1" x14ac:dyDescent="0.3">
      <c r="A9" s="1"/>
      <c r="B9" s="39" t="s">
        <v>4</v>
      </c>
      <c r="C9" s="39" t="s">
        <v>10</v>
      </c>
      <c r="D9" s="39" t="s">
        <v>34</v>
      </c>
      <c r="E9" s="39" t="s">
        <v>57</v>
      </c>
      <c r="F9" s="47" t="s">
        <v>74</v>
      </c>
      <c r="G9" s="39" t="s">
        <v>120</v>
      </c>
      <c r="H9" s="47" t="s">
        <v>87</v>
      </c>
      <c r="I9" s="39" t="s">
        <v>121</v>
      </c>
      <c r="J9" s="47" t="s">
        <v>104</v>
      </c>
      <c r="K9" s="39" t="s">
        <v>119</v>
      </c>
      <c r="L9" s="39" t="s">
        <v>123</v>
      </c>
      <c r="M9" s="47" t="s">
        <v>124</v>
      </c>
      <c r="N9" s="39" t="s">
        <v>125</v>
      </c>
      <c r="O9" s="47" t="s">
        <v>126</v>
      </c>
      <c r="P9" s="39" t="s">
        <v>127</v>
      </c>
      <c r="Q9" s="44" t="s">
        <v>134</v>
      </c>
    </row>
    <row r="10" spans="1:17" ht="26.25" thickBot="1" x14ac:dyDescent="0.3">
      <c r="A10" s="1"/>
      <c r="B10" s="39">
        <f>ROW(B10) - ROW($B$9)</f>
        <v>1</v>
      </c>
      <c r="C10" s="67" t="s">
        <v>11</v>
      </c>
      <c r="D10" s="67" t="s">
        <v>35</v>
      </c>
      <c r="E10" s="67" t="s">
        <v>58</v>
      </c>
      <c r="F10" s="68" t="s">
        <v>75</v>
      </c>
      <c r="G10" s="67" t="s">
        <v>157</v>
      </c>
      <c r="H10" s="68" t="s">
        <v>88</v>
      </c>
      <c r="I10" s="67" t="s">
        <v>128</v>
      </c>
      <c r="J10" s="68" t="s">
        <v>105</v>
      </c>
      <c r="K10" s="67">
        <v>1</v>
      </c>
      <c r="L10" s="67">
        <f>K10*5</f>
        <v>5</v>
      </c>
      <c r="M10" s="68">
        <v>7</v>
      </c>
      <c r="N10" s="55" t="s">
        <v>133</v>
      </c>
      <c r="O10" s="48">
        <v>0.91790000000000005</v>
      </c>
      <c r="P10" s="74">
        <f>O10*M10</f>
        <v>6.4253</v>
      </c>
      <c r="Q10" s="45"/>
    </row>
    <row r="11" spans="1:17" ht="77.25" thickBot="1" x14ac:dyDescent="0.3">
      <c r="A11" s="1"/>
      <c r="B11" s="39">
        <f t="shared" ref="B11:B31" si="0">ROW(B11) - ROW($B$9)</f>
        <v>2</v>
      </c>
      <c r="C11" s="69" t="s">
        <v>12</v>
      </c>
      <c r="D11" s="69" t="s">
        <v>36</v>
      </c>
      <c r="E11" s="69" t="s">
        <v>122</v>
      </c>
      <c r="F11" s="70" t="s">
        <v>59</v>
      </c>
      <c r="G11" s="69" t="s">
        <v>157</v>
      </c>
      <c r="H11" s="70" t="s">
        <v>89</v>
      </c>
      <c r="I11" s="69" t="s">
        <v>129</v>
      </c>
      <c r="J11" s="70" t="s">
        <v>106</v>
      </c>
      <c r="K11" s="69">
        <v>1</v>
      </c>
      <c r="L11" s="69">
        <f t="shared" ref="L11:L32" si="1">K11*5</f>
        <v>5</v>
      </c>
      <c r="M11" s="70">
        <v>7</v>
      </c>
      <c r="N11" s="56" t="s">
        <v>133</v>
      </c>
      <c r="O11" s="49">
        <v>0.43280000000000002</v>
      </c>
      <c r="P11" s="75">
        <f t="shared" ref="P11:P32" si="2">O11*M11</f>
        <v>3.0296000000000003</v>
      </c>
      <c r="Q11" s="41"/>
    </row>
    <row r="12" spans="1:17" ht="26.25" thickBot="1" x14ac:dyDescent="0.3">
      <c r="A12" s="1"/>
      <c r="B12" s="39">
        <f>ROW(B12) - ROW($B$9)</f>
        <v>3</v>
      </c>
      <c r="C12" s="67" t="s">
        <v>13</v>
      </c>
      <c r="D12" s="67" t="s">
        <v>37</v>
      </c>
      <c r="E12" s="67" t="s">
        <v>60</v>
      </c>
      <c r="F12" s="68" t="s">
        <v>76</v>
      </c>
      <c r="G12" s="67" t="s">
        <v>157</v>
      </c>
      <c r="H12" s="68" t="s">
        <v>90</v>
      </c>
      <c r="I12" s="67" t="s">
        <v>130</v>
      </c>
      <c r="J12" s="68" t="s">
        <v>107</v>
      </c>
      <c r="K12" s="67">
        <v>1</v>
      </c>
      <c r="L12" s="67">
        <f t="shared" si="1"/>
        <v>5</v>
      </c>
      <c r="M12" s="68">
        <v>100</v>
      </c>
      <c r="N12" s="57" t="s">
        <v>133</v>
      </c>
      <c r="O12" s="50">
        <v>3.3999999999999998E-3</v>
      </c>
      <c r="P12" s="74">
        <f t="shared" si="2"/>
        <v>0.33999999999999997</v>
      </c>
      <c r="Q12" s="46"/>
    </row>
    <row r="13" spans="1:17" ht="26.25" thickBot="1" x14ac:dyDescent="0.3">
      <c r="A13" s="1"/>
      <c r="B13" s="39">
        <f t="shared" si="0"/>
        <v>4</v>
      </c>
      <c r="C13" s="69" t="s">
        <v>14</v>
      </c>
      <c r="D13" s="69" t="s">
        <v>38</v>
      </c>
      <c r="E13" s="69" t="s">
        <v>60</v>
      </c>
      <c r="F13" s="70" t="s">
        <v>77</v>
      </c>
      <c r="G13" s="69" t="s">
        <v>157</v>
      </c>
      <c r="H13" s="70" t="s">
        <v>90</v>
      </c>
      <c r="I13" s="69" t="s">
        <v>131</v>
      </c>
      <c r="J13" s="70" t="s">
        <v>108</v>
      </c>
      <c r="K13" s="69">
        <v>2</v>
      </c>
      <c r="L13" s="69">
        <f t="shared" si="1"/>
        <v>10</v>
      </c>
      <c r="M13" s="70">
        <v>100</v>
      </c>
      <c r="N13" s="58" t="s">
        <v>133</v>
      </c>
      <c r="O13" s="49">
        <v>3.3E-3</v>
      </c>
      <c r="P13" s="75">
        <f t="shared" si="2"/>
        <v>0.33</v>
      </c>
      <c r="Q13" s="41"/>
    </row>
    <row r="14" spans="1:17" ht="26.25" thickBot="1" x14ac:dyDescent="0.3">
      <c r="A14" s="1"/>
      <c r="B14" s="39">
        <f>ROW(B14) - ROW($B$9)</f>
        <v>5</v>
      </c>
      <c r="C14" s="67" t="s">
        <v>15</v>
      </c>
      <c r="D14" s="67" t="s">
        <v>39</v>
      </c>
      <c r="E14" s="67" t="s">
        <v>60</v>
      </c>
      <c r="F14" s="68" t="s">
        <v>78</v>
      </c>
      <c r="G14" s="67" t="s">
        <v>157</v>
      </c>
      <c r="H14" s="68" t="s">
        <v>90</v>
      </c>
      <c r="I14" s="67" t="s">
        <v>132</v>
      </c>
      <c r="J14" s="68" t="s">
        <v>109</v>
      </c>
      <c r="K14" s="67">
        <v>1</v>
      </c>
      <c r="L14" s="67">
        <f t="shared" si="1"/>
        <v>5</v>
      </c>
      <c r="M14" s="68">
        <v>50</v>
      </c>
      <c r="N14" s="57" t="s">
        <v>133</v>
      </c>
      <c r="O14" s="50">
        <v>7.1000000000000004E-3</v>
      </c>
      <c r="P14" s="74">
        <f t="shared" si="2"/>
        <v>0.35500000000000004</v>
      </c>
      <c r="Q14" s="46"/>
    </row>
    <row r="15" spans="1:17" ht="51.75" thickBot="1" x14ac:dyDescent="0.3">
      <c r="A15" s="1"/>
      <c r="B15" s="39">
        <f t="shared" si="0"/>
        <v>6</v>
      </c>
      <c r="C15" s="69" t="s">
        <v>16</v>
      </c>
      <c r="D15" s="69" t="s">
        <v>40</v>
      </c>
      <c r="E15" s="69" t="s">
        <v>61</v>
      </c>
      <c r="F15" s="70" t="s">
        <v>110</v>
      </c>
      <c r="G15" s="69" t="s">
        <v>157</v>
      </c>
      <c r="H15" s="70" t="s">
        <v>91</v>
      </c>
      <c r="I15" s="69" t="s">
        <v>135</v>
      </c>
      <c r="J15" s="70" t="s">
        <v>136</v>
      </c>
      <c r="K15" s="69">
        <v>1</v>
      </c>
      <c r="L15" s="69">
        <f t="shared" si="1"/>
        <v>5</v>
      </c>
      <c r="M15" s="70">
        <v>10</v>
      </c>
      <c r="N15" s="58" t="s">
        <v>133</v>
      </c>
      <c r="O15" s="49">
        <v>4.0599999999999997E-2</v>
      </c>
      <c r="P15" s="75">
        <f t="shared" si="2"/>
        <v>0.40599999999999997</v>
      </c>
      <c r="Q15" s="41"/>
    </row>
    <row r="16" spans="1:17" ht="26.25" thickBot="1" x14ac:dyDescent="0.3">
      <c r="A16" s="1"/>
      <c r="B16" s="39">
        <f>ROW(B16) - ROW($B$9)</f>
        <v>7</v>
      </c>
      <c r="C16" s="67" t="s">
        <v>17</v>
      </c>
      <c r="D16" s="67" t="s">
        <v>41</v>
      </c>
      <c r="E16" s="67" t="s">
        <v>62</v>
      </c>
      <c r="F16" s="68" t="s">
        <v>111</v>
      </c>
      <c r="G16" s="67" t="s">
        <v>157</v>
      </c>
      <c r="H16" s="68" t="s">
        <v>92</v>
      </c>
      <c r="I16" s="67" t="s">
        <v>137</v>
      </c>
      <c r="J16" s="68" t="s">
        <v>151</v>
      </c>
      <c r="K16" s="67">
        <v>1</v>
      </c>
      <c r="L16" s="67">
        <f t="shared" si="1"/>
        <v>5</v>
      </c>
      <c r="M16" s="68">
        <v>20</v>
      </c>
      <c r="N16" s="59" t="s">
        <v>133</v>
      </c>
      <c r="O16" s="51">
        <v>3.1399999999999997E-2</v>
      </c>
      <c r="P16" s="74">
        <f t="shared" si="2"/>
        <v>0.62799999999999989</v>
      </c>
      <c r="Q16" s="46"/>
    </row>
    <row r="17" spans="1:17" ht="51.75" thickBot="1" x14ac:dyDescent="0.3">
      <c r="A17" s="1"/>
      <c r="B17" s="39">
        <f t="shared" si="0"/>
        <v>8</v>
      </c>
      <c r="C17" s="69" t="s">
        <v>18</v>
      </c>
      <c r="D17" s="69" t="s">
        <v>42</v>
      </c>
      <c r="E17" s="69" t="s">
        <v>122</v>
      </c>
      <c r="F17" s="70" t="s">
        <v>63</v>
      </c>
      <c r="G17" s="69" t="s">
        <v>157</v>
      </c>
      <c r="H17" s="70" t="s">
        <v>93</v>
      </c>
      <c r="I17" s="69" t="s">
        <v>138</v>
      </c>
      <c r="J17" s="70" t="s">
        <v>112</v>
      </c>
      <c r="K17" s="69">
        <v>1</v>
      </c>
      <c r="L17" s="69">
        <f t="shared" si="1"/>
        <v>5</v>
      </c>
      <c r="M17" s="70">
        <v>7</v>
      </c>
      <c r="N17" s="60" t="s">
        <v>133</v>
      </c>
      <c r="O17" s="52">
        <v>0.43280000000000002</v>
      </c>
      <c r="P17" s="75">
        <f t="shared" si="2"/>
        <v>3.0296000000000003</v>
      </c>
      <c r="Q17" s="41"/>
    </row>
    <row r="18" spans="1:17" ht="26.25" thickBot="1" x14ac:dyDescent="0.3">
      <c r="A18" s="1"/>
      <c r="B18" s="39">
        <f>ROW(B18) - ROW($B$9)</f>
        <v>9</v>
      </c>
      <c r="C18" s="67" t="s">
        <v>19</v>
      </c>
      <c r="D18" s="67" t="s">
        <v>43</v>
      </c>
      <c r="E18" s="67" t="s">
        <v>64</v>
      </c>
      <c r="F18" s="68" t="s">
        <v>79</v>
      </c>
      <c r="G18" s="67" t="s">
        <v>157</v>
      </c>
      <c r="H18" s="68" t="s">
        <v>93</v>
      </c>
      <c r="I18" s="67" t="s">
        <v>139</v>
      </c>
      <c r="J18" s="68" t="s">
        <v>151</v>
      </c>
      <c r="K18" s="67">
        <v>1</v>
      </c>
      <c r="L18" s="67">
        <f t="shared" si="1"/>
        <v>5</v>
      </c>
      <c r="M18" s="68">
        <v>50</v>
      </c>
      <c r="N18" s="61" t="s">
        <v>133</v>
      </c>
      <c r="O18" s="50">
        <v>1.5599999999999999E-2</v>
      </c>
      <c r="P18" s="74">
        <f t="shared" si="2"/>
        <v>0.77999999999999992</v>
      </c>
      <c r="Q18" s="46"/>
    </row>
    <row r="19" spans="1:17" ht="26.25" thickBot="1" x14ac:dyDescent="0.3">
      <c r="A19" s="1"/>
      <c r="B19" s="39">
        <f t="shared" si="0"/>
        <v>10</v>
      </c>
      <c r="C19" s="69" t="s">
        <v>20</v>
      </c>
      <c r="D19" s="69" t="s">
        <v>44</v>
      </c>
      <c r="E19" s="69" t="s">
        <v>65</v>
      </c>
      <c r="F19" s="82">
        <v>61300211121</v>
      </c>
      <c r="G19" s="69" t="s">
        <v>141</v>
      </c>
      <c r="H19" s="70" t="s">
        <v>94</v>
      </c>
      <c r="I19" s="69" t="s">
        <v>140</v>
      </c>
      <c r="J19" s="70" t="s">
        <v>151</v>
      </c>
      <c r="K19" s="69">
        <v>10</v>
      </c>
      <c r="L19" s="69">
        <f t="shared" si="1"/>
        <v>50</v>
      </c>
      <c r="M19" s="70">
        <v>100</v>
      </c>
      <c r="N19" s="62" t="s">
        <v>133</v>
      </c>
      <c r="O19" s="40">
        <v>8.9999999999999993E-3</v>
      </c>
      <c r="P19" s="75">
        <f t="shared" si="2"/>
        <v>0.89999999999999991</v>
      </c>
      <c r="Q19" s="41"/>
    </row>
    <row r="20" spans="1:17" ht="15.75" thickBot="1" x14ac:dyDescent="0.3">
      <c r="A20" s="1"/>
      <c r="B20" s="39">
        <f>ROW(B20) - ROW($B$9)</f>
        <v>11</v>
      </c>
      <c r="C20" s="67" t="s">
        <v>21</v>
      </c>
      <c r="D20" s="67" t="s">
        <v>45</v>
      </c>
      <c r="E20" s="67" t="s">
        <v>66</v>
      </c>
      <c r="F20" s="68" t="s">
        <v>80</v>
      </c>
      <c r="G20" s="67" t="s">
        <v>157</v>
      </c>
      <c r="H20" s="68" t="s">
        <v>95</v>
      </c>
      <c r="I20" s="67" t="s">
        <v>142</v>
      </c>
      <c r="J20" s="68"/>
      <c r="K20" s="67">
        <v>4</v>
      </c>
      <c r="L20" s="67">
        <f t="shared" si="1"/>
        <v>20</v>
      </c>
      <c r="M20" s="68">
        <v>22</v>
      </c>
      <c r="N20" s="57" t="s">
        <v>133</v>
      </c>
      <c r="O20" s="50">
        <v>0.3644</v>
      </c>
      <c r="P20" s="74">
        <f t="shared" si="2"/>
        <v>8.0167999999999999</v>
      </c>
      <c r="Q20" s="46"/>
    </row>
    <row r="21" spans="1:17" ht="26.25" thickBot="1" x14ac:dyDescent="0.3">
      <c r="A21" s="1"/>
      <c r="B21" s="39">
        <f t="shared" si="0"/>
        <v>12</v>
      </c>
      <c r="C21" s="69" t="s">
        <v>22</v>
      </c>
      <c r="D21" s="69" t="s">
        <v>46</v>
      </c>
      <c r="E21" s="69" t="s">
        <v>67</v>
      </c>
      <c r="F21" s="70" t="s">
        <v>143</v>
      </c>
      <c r="G21" s="69" t="s">
        <v>157</v>
      </c>
      <c r="H21" s="70" t="s">
        <v>96</v>
      </c>
      <c r="I21" s="69" t="s">
        <v>144</v>
      </c>
      <c r="J21" s="70" t="s">
        <v>113</v>
      </c>
      <c r="K21" s="69">
        <v>1</v>
      </c>
      <c r="L21" s="69">
        <f t="shared" si="1"/>
        <v>5</v>
      </c>
      <c r="M21" s="70">
        <v>50</v>
      </c>
      <c r="N21" s="60" t="s">
        <v>133</v>
      </c>
      <c r="O21" s="52">
        <v>4.3E-3</v>
      </c>
      <c r="P21" s="75">
        <f t="shared" si="2"/>
        <v>0.215</v>
      </c>
      <c r="Q21" s="41"/>
    </row>
    <row r="22" spans="1:17" ht="26.25" thickBot="1" x14ac:dyDescent="0.3">
      <c r="A22" s="1"/>
      <c r="B22" s="39">
        <f>ROW(B22) - ROW($B$9)</f>
        <v>13</v>
      </c>
      <c r="C22" s="67" t="s">
        <v>23</v>
      </c>
      <c r="D22" s="67" t="s">
        <v>47</v>
      </c>
      <c r="E22" s="67" t="s">
        <v>67</v>
      </c>
      <c r="F22" s="68" t="s">
        <v>81</v>
      </c>
      <c r="G22" s="67" t="s">
        <v>157</v>
      </c>
      <c r="H22" s="68" t="s">
        <v>90</v>
      </c>
      <c r="I22" s="67" t="s">
        <v>145</v>
      </c>
      <c r="J22" s="68" t="s">
        <v>114</v>
      </c>
      <c r="K22" s="67">
        <v>1</v>
      </c>
      <c r="L22" s="67">
        <f t="shared" si="1"/>
        <v>5</v>
      </c>
      <c r="M22" s="68">
        <v>100</v>
      </c>
      <c r="N22" s="57" t="s">
        <v>133</v>
      </c>
      <c r="O22" s="50">
        <v>1.5E-3</v>
      </c>
      <c r="P22" s="74">
        <f t="shared" si="2"/>
        <v>0.15</v>
      </c>
      <c r="Q22" s="46"/>
    </row>
    <row r="23" spans="1:17" ht="26.25" thickBot="1" x14ac:dyDescent="0.3">
      <c r="A23" s="1"/>
      <c r="B23" s="39">
        <f t="shared" si="0"/>
        <v>14</v>
      </c>
      <c r="C23" s="69" t="s">
        <v>24</v>
      </c>
      <c r="D23" s="69" t="s">
        <v>48</v>
      </c>
      <c r="E23" s="69" t="s">
        <v>68</v>
      </c>
      <c r="F23" s="70" t="s">
        <v>82</v>
      </c>
      <c r="G23" s="69" t="s">
        <v>157</v>
      </c>
      <c r="H23" s="70" t="s">
        <v>90</v>
      </c>
      <c r="I23" s="69" t="s">
        <v>146</v>
      </c>
      <c r="J23" s="70" t="s">
        <v>115</v>
      </c>
      <c r="K23" s="69">
        <v>4</v>
      </c>
      <c r="L23" s="69">
        <f t="shared" si="1"/>
        <v>20</v>
      </c>
      <c r="M23" s="70">
        <v>100</v>
      </c>
      <c r="N23" s="58" t="s">
        <v>133</v>
      </c>
      <c r="O23" s="49">
        <v>1.1999999999999999E-3</v>
      </c>
      <c r="P23" s="75">
        <f t="shared" si="2"/>
        <v>0.12</v>
      </c>
      <c r="Q23" s="41"/>
    </row>
    <row r="24" spans="1:17" ht="26.25" thickBot="1" x14ac:dyDescent="0.3">
      <c r="A24" s="1"/>
      <c r="B24" s="39">
        <f>ROW(B24) - ROW($B$9)</f>
        <v>15</v>
      </c>
      <c r="C24" s="67" t="s">
        <v>25</v>
      </c>
      <c r="D24" s="67" t="s">
        <v>49</v>
      </c>
      <c r="E24" s="67" t="s">
        <v>67</v>
      </c>
      <c r="F24" s="68" t="s">
        <v>83</v>
      </c>
      <c r="G24" s="67" t="s">
        <v>157</v>
      </c>
      <c r="H24" s="68" t="s">
        <v>97</v>
      </c>
      <c r="I24" s="67" t="s">
        <v>147</v>
      </c>
      <c r="J24" s="68" t="s">
        <v>116</v>
      </c>
      <c r="K24" s="67">
        <v>5</v>
      </c>
      <c r="L24" s="67">
        <f t="shared" si="1"/>
        <v>25</v>
      </c>
      <c r="M24" s="68">
        <v>100</v>
      </c>
      <c r="N24" s="57" t="s">
        <v>133</v>
      </c>
      <c r="O24" s="50">
        <v>1.6999999999999999E-3</v>
      </c>
      <c r="P24" s="74">
        <f t="shared" si="2"/>
        <v>0.16999999999999998</v>
      </c>
      <c r="Q24" s="46"/>
    </row>
    <row r="25" spans="1:17" ht="26.25" thickBot="1" x14ac:dyDescent="0.3">
      <c r="A25" s="1"/>
      <c r="B25" s="39">
        <f t="shared" si="0"/>
        <v>16</v>
      </c>
      <c r="C25" s="69" t="s">
        <v>26</v>
      </c>
      <c r="D25" s="69" t="s">
        <v>162</v>
      </c>
      <c r="E25" s="69" t="s">
        <v>163</v>
      </c>
      <c r="F25" s="70" t="s">
        <v>166</v>
      </c>
      <c r="G25" s="69" t="s">
        <v>157</v>
      </c>
      <c r="H25" s="70" t="s">
        <v>90</v>
      </c>
      <c r="I25" s="69" t="s">
        <v>164</v>
      </c>
      <c r="J25" s="70" t="s">
        <v>165</v>
      </c>
      <c r="K25" s="69">
        <v>5</v>
      </c>
      <c r="L25" s="69">
        <f t="shared" si="1"/>
        <v>25</v>
      </c>
      <c r="M25" s="70">
        <v>50</v>
      </c>
      <c r="N25" s="81" t="s">
        <v>133</v>
      </c>
      <c r="O25" s="49">
        <v>1.2999999999999999E-3</v>
      </c>
      <c r="P25" s="75">
        <f t="shared" si="2"/>
        <v>6.5000000000000002E-2</v>
      </c>
      <c r="Q25" s="41"/>
    </row>
    <row r="26" spans="1:17" ht="26.25" thickBot="1" x14ac:dyDescent="0.3">
      <c r="A26" s="1"/>
      <c r="B26" s="39">
        <f>ROW(B26) - ROW($B$9)</f>
        <v>17</v>
      </c>
      <c r="C26" s="67" t="s">
        <v>27</v>
      </c>
      <c r="D26" s="67" t="s">
        <v>50</v>
      </c>
      <c r="E26" s="67" t="s">
        <v>67</v>
      </c>
      <c r="F26" s="68" t="s">
        <v>84</v>
      </c>
      <c r="G26" s="67" t="s">
        <v>157</v>
      </c>
      <c r="H26" s="68" t="s">
        <v>90</v>
      </c>
      <c r="I26" s="67" t="s">
        <v>148</v>
      </c>
      <c r="J26" s="68" t="s">
        <v>117</v>
      </c>
      <c r="K26" s="67">
        <v>1</v>
      </c>
      <c r="L26" s="67">
        <f t="shared" si="1"/>
        <v>5</v>
      </c>
      <c r="M26" s="68">
        <v>100</v>
      </c>
      <c r="N26" s="57" t="s">
        <v>133</v>
      </c>
      <c r="O26" s="50">
        <v>1.5E-3</v>
      </c>
      <c r="P26" s="74">
        <f t="shared" si="2"/>
        <v>0.15</v>
      </c>
      <c r="Q26" s="46"/>
    </row>
    <row r="27" spans="1:17" ht="51.75" thickBot="1" x14ac:dyDescent="0.3">
      <c r="A27" s="1"/>
      <c r="B27" s="39">
        <f t="shared" si="0"/>
        <v>18</v>
      </c>
      <c r="C27" s="69" t="s">
        <v>28</v>
      </c>
      <c r="D27" s="69" t="s">
        <v>51</v>
      </c>
      <c r="E27" s="69" t="s">
        <v>67</v>
      </c>
      <c r="F27" s="70" t="s">
        <v>150</v>
      </c>
      <c r="G27" s="69" t="s">
        <v>157</v>
      </c>
      <c r="H27" s="70" t="s">
        <v>98</v>
      </c>
      <c r="I27" s="69" t="s">
        <v>149</v>
      </c>
      <c r="J27" s="70" t="s">
        <v>118</v>
      </c>
      <c r="K27" s="69">
        <v>1</v>
      </c>
      <c r="L27" s="69">
        <f t="shared" si="1"/>
        <v>5</v>
      </c>
      <c r="M27" s="70">
        <v>100</v>
      </c>
      <c r="N27" s="62" t="s">
        <v>133</v>
      </c>
      <c r="O27" s="53">
        <v>1.2999999999999999E-3</v>
      </c>
      <c r="P27" s="75">
        <f t="shared" si="2"/>
        <v>0.13</v>
      </c>
      <c r="Q27" s="41"/>
    </row>
    <row r="28" spans="1:17" ht="39" thickBot="1" x14ac:dyDescent="0.3">
      <c r="A28" s="1"/>
      <c r="B28" s="39">
        <f>ROW(B28) - ROW($B$9)</f>
        <v>19</v>
      </c>
      <c r="C28" s="67" t="s">
        <v>29</v>
      </c>
      <c r="D28" s="67" t="s">
        <v>52</v>
      </c>
      <c r="E28" s="67" t="s">
        <v>122</v>
      </c>
      <c r="F28" s="68" t="s">
        <v>69</v>
      </c>
      <c r="G28" s="67" t="s">
        <v>157</v>
      </c>
      <c r="H28" s="68" t="s">
        <v>99</v>
      </c>
      <c r="I28" s="67" t="s">
        <v>152</v>
      </c>
      <c r="J28" s="68" t="s">
        <v>136</v>
      </c>
      <c r="K28" s="67">
        <v>1</v>
      </c>
      <c r="L28" s="67">
        <f t="shared" si="1"/>
        <v>5</v>
      </c>
      <c r="M28" s="68">
        <v>10</v>
      </c>
      <c r="N28" s="61" t="s">
        <v>133</v>
      </c>
      <c r="O28" s="54">
        <v>5.91E-2</v>
      </c>
      <c r="P28" s="76">
        <f t="shared" si="2"/>
        <v>0.59099999999999997</v>
      </c>
      <c r="Q28" s="46"/>
    </row>
    <row r="29" spans="1:17" ht="39" thickBot="1" x14ac:dyDescent="0.3">
      <c r="A29" s="1"/>
      <c r="B29" s="39">
        <f t="shared" si="0"/>
        <v>20</v>
      </c>
      <c r="C29" s="69" t="s">
        <v>30</v>
      </c>
      <c r="D29" s="69" t="s">
        <v>53</v>
      </c>
      <c r="E29" s="69" t="s">
        <v>70</v>
      </c>
      <c r="F29" s="70" t="s">
        <v>85</v>
      </c>
      <c r="G29" s="69" t="s">
        <v>157</v>
      </c>
      <c r="H29" s="70" t="s">
        <v>100</v>
      </c>
      <c r="I29" s="69" t="s">
        <v>153</v>
      </c>
      <c r="J29" s="70" t="s">
        <v>136</v>
      </c>
      <c r="K29" s="69">
        <v>1</v>
      </c>
      <c r="L29" s="69">
        <f t="shared" si="1"/>
        <v>5</v>
      </c>
      <c r="M29" s="70">
        <v>6</v>
      </c>
      <c r="N29" s="58" t="s">
        <v>133</v>
      </c>
      <c r="O29" s="49">
        <v>0.49409999999999998</v>
      </c>
      <c r="P29" s="77">
        <f t="shared" si="2"/>
        <v>2.9645999999999999</v>
      </c>
      <c r="Q29" s="41"/>
    </row>
    <row r="30" spans="1:17" ht="26.25" thickBot="1" x14ac:dyDescent="0.3">
      <c r="A30" s="1"/>
      <c r="B30" s="39">
        <f>ROW(B30) - ROW($B$9)</f>
        <v>21</v>
      </c>
      <c r="C30" s="67" t="s">
        <v>31</v>
      </c>
      <c r="D30" s="67" t="s">
        <v>54</v>
      </c>
      <c r="E30" s="67" t="s">
        <v>71</v>
      </c>
      <c r="F30" s="68" t="s">
        <v>86</v>
      </c>
      <c r="G30" s="67" t="s">
        <v>157</v>
      </c>
      <c r="H30" s="68" t="s">
        <v>101</v>
      </c>
      <c r="I30" s="67" t="s">
        <v>154</v>
      </c>
      <c r="J30" s="68" t="s">
        <v>136</v>
      </c>
      <c r="K30" s="67">
        <v>1</v>
      </c>
      <c r="L30" s="67">
        <f t="shared" si="1"/>
        <v>5</v>
      </c>
      <c r="M30" s="68">
        <v>6</v>
      </c>
      <c r="N30" s="57" t="s">
        <v>133</v>
      </c>
      <c r="O30" s="50">
        <v>1.9494</v>
      </c>
      <c r="P30" s="74">
        <f t="shared" si="2"/>
        <v>11.696400000000001</v>
      </c>
      <c r="Q30" s="46"/>
    </row>
    <row r="31" spans="1:17" ht="26.25" thickBot="1" x14ac:dyDescent="0.3">
      <c r="A31" s="1"/>
      <c r="B31" s="39">
        <f t="shared" si="0"/>
        <v>22</v>
      </c>
      <c r="C31" s="69" t="s">
        <v>32</v>
      </c>
      <c r="D31" s="69" t="s">
        <v>55</v>
      </c>
      <c r="E31" s="69" t="s">
        <v>160</v>
      </c>
      <c r="F31" s="70" t="s">
        <v>72</v>
      </c>
      <c r="G31" s="69" t="s">
        <v>157</v>
      </c>
      <c r="H31" s="70" t="s">
        <v>102</v>
      </c>
      <c r="I31" s="69" t="s">
        <v>155</v>
      </c>
      <c r="J31" s="70" t="s">
        <v>136</v>
      </c>
      <c r="K31" s="69">
        <v>1</v>
      </c>
      <c r="L31" s="69">
        <f t="shared" si="1"/>
        <v>5</v>
      </c>
      <c r="M31" s="70">
        <v>6</v>
      </c>
      <c r="N31" s="58" t="s">
        <v>133</v>
      </c>
      <c r="O31" s="49">
        <v>0.94679999999999997</v>
      </c>
      <c r="P31" s="75">
        <f t="shared" si="2"/>
        <v>5.6807999999999996</v>
      </c>
      <c r="Q31" s="41"/>
    </row>
    <row r="32" spans="1:17" ht="39" thickBot="1" x14ac:dyDescent="0.3">
      <c r="A32" s="1"/>
      <c r="B32" s="39">
        <f>ROW(B32) - ROW($B$9)</f>
        <v>23</v>
      </c>
      <c r="C32" s="71" t="s">
        <v>33</v>
      </c>
      <c r="D32" s="71" t="s">
        <v>56</v>
      </c>
      <c r="E32" s="71" t="s">
        <v>161</v>
      </c>
      <c r="F32" s="72" t="s">
        <v>73</v>
      </c>
      <c r="G32" s="71" t="s">
        <v>157</v>
      </c>
      <c r="H32" s="72" t="s">
        <v>103</v>
      </c>
      <c r="I32" s="71" t="s">
        <v>156</v>
      </c>
      <c r="J32" s="72" t="s">
        <v>136</v>
      </c>
      <c r="K32" s="71">
        <v>1</v>
      </c>
      <c r="L32" s="71">
        <f t="shared" si="1"/>
        <v>5</v>
      </c>
      <c r="M32" s="72">
        <v>6</v>
      </c>
      <c r="N32" s="63" t="s">
        <v>133</v>
      </c>
      <c r="O32" s="65">
        <v>0.54279999999999995</v>
      </c>
      <c r="P32" s="78">
        <f t="shared" si="2"/>
        <v>3.2567999999999997</v>
      </c>
      <c r="Q32" s="66"/>
    </row>
    <row r="33" spans="1:17" ht="19.5" thickBot="1" x14ac:dyDescent="0.3">
      <c r="A33" s="1"/>
      <c r="B33" s="30"/>
      <c r="C33" s="26" t="s">
        <v>5</v>
      </c>
      <c r="D33" s="27"/>
      <c r="E33" s="28"/>
      <c r="F33" s="29"/>
      <c r="G33" s="29"/>
      <c r="H33" s="28"/>
      <c r="I33" s="28"/>
      <c r="J33" s="29"/>
      <c r="K33" s="29"/>
      <c r="L33" s="43"/>
      <c r="M33" s="89" t="s">
        <v>158</v>
      </c>
      <c r="N33" s="90"/>
      <c r="O33" s="90"/>
      <c r="P33" s="73">
        <f>SUM(P10:P32)</f>
        <v>49.429899999999996</v>
      </c>
      <c r="Q33" s="64"/>
    </row>
    <row r="34" spans="1:17" ht="19.5" thickBot="1" x14ac:dyDescent="0.3">
      <c r="A34" s="1"/>
      <c r="B34" s="24"/>
      <c r="C34" s="8" t="s">
        <v>6</v>
      </c>
      <c r="D34" s="9"/>
      <c r="E34" s="9"/>
      <c r="F34" s="9"/>
      <c r="G34" s="9"/>
      <c r="H34" s="9"/>
      <c r="I34" s="9"/>
      <c r="J34" s="9"/>
      <c r="K34" s="9"/>
      <c r="L34" s="42"/>
      <c r="M34" s="83" t="s">
        <v>159</v>
      </c>
      <c r="N34" s="84"/>
      <c r="O34" s="84"/>
      <c r="P34" s="80">
        <f>P33/5</f>
        <v>9.88598</v>
      </c>
      <c r="Q34" s="31"/>
    </row>
    <row r="38" spans="1:17" x14ac:dyDescent="0.25">
      <c r="P38" s="79"/>
    </row>
  </sheetData>
  <mergeCells count="5">
    <mergeCell ref="M34:O34"/>
    <mergeCell ref="L2:Q2"/>
    <mergeCell ref="Q3:Q8"/>
    <mergeCell ref="M33:O33"/>
    <mergeCell ref="J1:L1"/>
  </mergeCells>
  <hyperlinks>
    <hyperlink ref="N10" r:id="rId1" xr:uid="{00000000-0004-0000-0000-000000000000}"/>
    <hyperlink ref="N11" r:id="rId2" xr:uid="{00000000-0004-0000-0000-000001000000}"/>
    <hyperlink ref="N12" r:id="rId3" xr:uid="{00000000-0004-0000-0000-000002000000}"/>
    <hyperlink ref="N13" r:id="rId4" xr:uid="{00000000-0004-0000-0000-000003000000}"/>
    <hyperlink ref="N14" r:id="rId5" xr:uid="{00000000-0004-0000-0000-000004000000}"/>
    <hyperlink ref="N15" r:id="rId6" xr:uid="{00000000-0004-0000-0000-000005000000}"/>
    <hyperlink ref="N16" r:id="rId7" xr:uid="{00000000-0004-0000-0000-000006000000}"/>
    <hyperlink ref="N17" r:id="rId8" xr:uid="{00000000-0004-0000-0000-000007000000}"/>
    <hyperlink ref="N18" r:id="rId9" xr:uid="{00000000-0004-0000-0000-000008000000}"/>
    <hyperlink ref="N19" r:id="rId10" xr:uid="{00000000-0004-0000-0000-000009000000}"/>
    <hyperlink ref="N20" r:id="rId11" xr:uid="{00000000-0004-0000-0000-00000A000000}"/>
    <hyperlink ref="N21" r:id="rId12" xr:uid="{00000000-0004-0000-0000-00000B000000}"/>
    <hyperlink ref="N22" r:id="rId13" xr:uid="{00000000-0004-0000-0000-00000C000000}"/>
    <hyperlink ref="N23" r:id="rId14" xr:uid="{00000000-0004-0000-0000-00000D000000}"/>
    <hyperlink ref="N24" r:id="rId15" xr:uid="{00000000-0004-0000-0000-00000E000000}"/>
    <hyperlink ref="N26" r:id="rId16" xr:uid="{00000000-0004-0000-0000-000010000000}"/>
    <hyperlink ref="N27" r:id="rId17" xr:uid="{00000000-0004-0000-0000-000011000000}"/>
    <hyperlink ref="N28" r:id="rId18" xr:uid="{00000000-0004-0000-0000-000012000000}"/>
    <hyperlink ref="N29" r:id="rId19" xr:uid="{00000000-0004-0000-0000-000013000000}"/>
    <hyperlink ref="N30" r:id="rId20" xr:uid="{00000000-0004-0000-0000-000014000000}"/>
    <hyperlink ref="N31" r:id="rId21" xr:uid="{00000000-0004-0000-0000-000015000000}"/>
    <hyperlink ref="N32" r:id="rId22" xr:uid="{00000000-0004-0000-0000-000016000000}"/>
    <hyperlink ref="N25" r:id="rId23" xr:uid="{E62D503C-98B1-42B1-A6BB-3F6E82D51957}"/>
  </hyperlinks>
  <pageMargins left="0.7" right="0.7" top="0.75" bottom="0.75" header="0.3" footer="0.3"/>
  <pageSetup paperSize="9" orientation="portrait" r:id="rId24"/>
  <drawing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2022-06-14T09:03:55Z</dcterms:modified>
</cp:coreProperties>
</file>