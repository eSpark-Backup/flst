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flst\Deliverables\BOM\"/>
    </mc:Choice>
  </mc:AlternateContent>
  <xr:revisionPtr revIDLastSave="0" documentId="13_ncr:1_{13312DD9-C5DA-47E1-899E-7B29F0FFC0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1" i="1" l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10" i="1"/>
  <c r="O33" i="1" l="1"/>
  <c r="O34" i="1" s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<sst xmlns="http://schemas.openxmlformats.org/spreadsheetml/2006/main" count="208" uniqueCount="149">
  <si>
    <t>Component list</t>
  </si>
  <si>
    <t>Source Data From:</t>
  </si>
  <si>
    <t>Project:</t>
  </si>
  <si>
    <t>Variant:</t>
  </si>
  <si>
    <t>#</t>
  </si>
  <si>
    <t>None</t>
  </si>
  <si>
    <t>Designator</t>
  </si>
  <si>
    <t>C1</t>
  </si>
  <si>
    <t>C2</t>
  </si>
  <si>
    <t>C3</t>
  </si>
  <si>
    <t>C4, C6</t>
  </si>
  <si>
    <t>C5</t>
  </si>
  <si>
    <t>D1</t>
  </si>
  <si>
    <t>J1</t>
  </si>
  <si>
    <t>L1</t>
  </si>
  <si>
    <t>L2</t>
  </si>
  <si>
    <t>P1, P2, P3, P4, P5, P6, P7, P8, P9, P10</t>
  </si>
  <si>
    <t>Q1, Q2, Q3, Q4</t>
  </si>
  <si>
    <t>R1</t>
  </si>
  <si>
    <t>R2</t>
  </si>
  <si>
    <t>R3, R8, R14, R15</t>
  </si>
  <si>
    <t>R4, R5, R6, R7, R9</t>
  </si>
  <si>
    <t>R10, R11, R12, R13, R16</t>
  </si>
  <si>
    <t>RF1</t>
  </si>
  <si>
    <t>RF2</t>
  </si>
  <si>
    <t>SW1</t>
  </si>
  <si>
    <t>U1</t>
  </si>
  <si>
    <t>U2</t>
  </si>
  <si>
    <t>U3</t>
  </si>
  <si>
    <t>U4</t>
  </si>
  <si>
    <t>Description</t>
  </si>
  <si>
    <t>CAP TANT 100UF 20% 25V 2917</t>
  </si>
  <si>
    <t>470uF ±20% 50V 12.5mm 13.5mm 1000hrs 105℃ -40℃~+105℃ SMD,12.5x13.5mm Aluminum Electrolytic Capacitors - SMD RoHS</t>
  </si>
  <si>
    <t>CAP CER 470pF 10% X7R 50V 0603 SMD</t>
  </si>
  <si>
    <t>CAP CER 0.1UF 50V Y5V 0603</t>
  </si>
  <si>
    <t>CAP CER 1UF 25V X5R 0603</t>
  </si>
  <si>
    <t>40V 500mV@2A 2A SMA(DO-214AC) Schottky Barrier Diodes (SBD) ROHS</t>
  </si>
  <si>
    <t>Pin Header 5 1 right-angle</t>
  </si>
  <si>
    <t>Inductor Power Shielded Wirewound 220uH 20% 1KHz Ferrite 1.3A 310mOhm DCR Blister T/R</t>
  </si>
  <si>
    <t>FERRITE BEAD 600 OHM 0201 1LN</t>
  </si>
  <si>
    <t>CONN HEADER VERT 2POS 2.54MM</t>
  </si>
  <si>
    <t>MOSFET N-CH 130V 1A SOT23</t>
  </si>
  <si>
    <t>0.33Ω 0603 Chip Resistor - Surface Mount ROHS</t>
  </si>
  <si>
    <t>RES SMD 4.7K OHM 1% 1/10W 0603</t>
  </si>
  <si>
    <t>RES SMD 10K OHM 1% 1/20W 0201</t>
  </si>
  <si>
    <t>RES SMD 3.3K OHM 1% 1/10W 0603</t>
  </si>
  <si>
    <t>Chip Resistor Automotive Grade Thick Film 1206 536Ohm 1% Paper T/R, RES SMD 1206 536Ohm 1% Paper T/R</t>
  </si>
  <si>
    <t>RES SMD 2K OHM 1% 1/10W 0603</t>
  </si>
  <si>
    <t>±1% 1/10W Thick Film Resistors 75V ±100ppm/℃ -55℃~+155℃ 1.2kΩ 0603 Chip Resistor - Surface Mount ROHS</t>
  </si>
  <si>
    <t>3mm 2mm Round Button 50mA Top3.65mm SPST 12V SMD Tactile Switches</t>
  </si>
  <si>
    <t>1.5-A boost, buck, inverting switching regulator, operation from 0°C to 70°C 8-SOIC 0 to 70</t>
  </si>
  <si>
    <t>IC MCU 8BIT 16KB FLASH 20VQFN</t>
  </si>
  <si>
    <t>OPTOISO 3.75KV 4CH TRANS 16SO</t>
  </si>
  <si>
    <t>TransistorOptocouplers DC 1 2500Vrms SOP-4_P1.27 Optocouplers RoHS</t>
  </si>
  <si>
    <t>Footprint</t>
  </si>
  <si>
    <t>CAP- 2917</t>
  </si>
  <si>
    <t>Cap0603</t>
  </si>
  <si>
    <t>SMA</t>
  </si>
  <si>
    <t>HDR1X5</t>
  </si>
  <si>
    <t>SLF12575T-221M1R3-PF</t>
  </si>
  <si>
    <t>IND 0201</t>
  </si>
  <si>
    <t>HDR1X2</t>
  </si>
  <si>
    <t>SOT23-3</t>
  </si>
  <si>
    <t>RES-0603</t>
  </si>
  <si>
    <t>Res-0201</t>
  </si>
  <si>
    <t>TS-1185EC-C-D-B</t>
  </si>
  <si>
    <t>SOIC-8</t>
  </si>
  <si>
    <t>20-QFN</t>
  </si>
  <si>
    <t>LTV-247</t>
  </si>
  <si>
    <t>PS2801C-1-F3-A</t>
  </si>
  <si>
    <t>Manufacturer Part Number</t>
  </si>
  <si>
    <t>TAJE107M025RNJ</t>
  </si>
  <si>
    <t>CC0603KRX7R9BB471</t>
  </si>
  <si>
    <t>CC0603ZRY5V9BB104</t>
  </si>
  <si>
    <t>CC0603KRX5R8BB105</t>
  </si>
  <si>
    <t>MMZ0603S601CT000</t>
  </si>
  <si>
    <t>DMN13H750S-7</t>
  </si>
  <si>
    <t>RC0603FR-074K7L</t>
  </si>
  <si>
    <t>RC0201FR-0710KL</t>
  </si>
  <si>
    <t>RC0603FR-073K3L</t>
  </si>
  <si>
    <t>AC1206FR-07536RL</t>
  </si>
  <si>
    <t>RC0603FR-072KL</t>
  </si>
  <si>
    <t>MC34063ADR</t>
  </si>
  <si>
    <t>ATTINY1616-MNR</t>
  </si>
  <si>
    <t>Manufacturer</t>
  </si>
  <si>
    <t>Kyocera AVX</t>
  </si>
  <si>
    <t>Changzhou Huawei Elec</t>
  </si>
  <si>
    <t>Yageo</t>
  </si>
  <si>
    <t>Yangzhou</t>
  </si>
  <si>
    <t>XFCN</t>
  </si>
  <si>
    <t>TDK</t>
  </si>
  <si>
    <t>Wurth Electronics</t>
  </si>
  <si>
    <t>Diodes</t>
  </si>
  <si>
    <t>RALEC</t>
  </si>
  <si>
    <t>Yageo Phycomp</t>
  </si>
  <si>
    <t>UNI-ROYAL</t>
  </si>
  <si>
    <t>XKB</t>
  </si>
  <si>
    <t>Texas Instruments</t>
  </si>
  <si>
    <t>Microchip</t>
  </si>
  <si>
    <t>Vishay Lite-On</t>
  </si>
  <si>
    <t>CEL</t>
  </si>
  <si>
    <t>100uF</t>
  </si>
  <si>
    <t>470uF</t>
  </si>
  <si>
    <t>470pF</t>
  </si>
  <si>
    <t>0.1uF</t>
  </si>
  <si>
    <t>1uF</t>
  </si>
  <si>
    <t>SS24A</t>
  </si>
  <si>
    <t>PZ254V-11-05P</t>
  </si>
  <si>
    <t>220uH</t>
  </si>
  <si>
    <t>0.33R</t>
  </si>
  <si>
    <t>4.7K</t>
  </si>
  <si>
    <t>10K</t>
  </si>
  <si>
    <t>3.3K</t>
  </si>
  <si>
    <t>536R</t>
  </si>
  <si>
    <t>2K</t>
  </si>
  <si>
    <t>1.2K</t>
  </si>
  <si>
    <t>Quantity</t>
  </si>
  <si>
    <t>Item Type</t>
  </si>
  <si>
    <t>Capacitor</t>
  </si>
  <si>
    <t>Diode</t>
  </si>
  <si>
    <t>Header</t>
  </si>
  <si>
    <t>Inductor</t>
  </si>
  <si>
    <t>Mosfet</t>
  </si>
  <si>
    <t>Resistor</t>
  </si>
  <si>
    <t>Switch</t>
  </si>
  <si>
    <t>IC</t>
  </si>
  <si>
    <t>Alternate Part Number</t>
  </si>
  <si>
    <t>Value</t>
  </si>
  <si>
    <t>Remarks</t>
  </si>
  <si>
    <t>Reviewer Remarks</t>
  </si>
  <si>
    <t>-----------</t>
  </si>
  <si>
    <t>210-91-02GB01</t>
  </si>
  <si>
    <t>Quantity (5 Boards)</t>
  </si>
  <si>
    <t>--------</t>
  </si>
  <si>
    <t>-------</t>
  </si>
  <si>
    <t>MOQ (5 Boards)</t>
  </si>
  <si>
    <t>Unit Cost (5 Boards)</t>
  </si>
  <si>
    <t>Total Cost (5 Boards)</t>
  </si>
  <si>
    <t xml:space="preserve">Total Component Cost </t>
  </si>
  <si>
    <t>Single Board Cost</t>
  </si>
  <si>
    <t>Bill of Materials for Project [Oliver_Flst]</t>
  </si>
  <si>
    <t>[Oliver_Flst]</t>
  </si>
  <si>
    <t>Custom</t>
  </si>
  <si>
    <t>VKMD1001J101MV</t>
  </si>
  <si>
    <t>RTT03R330FTP</t>
  </si>
  <si>
    <t>RES-1206</t>
  </si>
  <si>
    <t>0603WAF1201T5E</t>
  </si>
  <si>
    <t>16SO</t>
  </si>
  <si>
    <t>SOP-4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</si>
</sst>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165" fontId="18" fillId="4" borderId="16" xfId="0" applyNumberFormat="1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165" fontId="18" fillId="2" borderId="26" xfId="0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5" fontId="21" fillId="0" borderId="23" xfId="0" applyNumberFormat="1" applyFont="1" applyBorder="1" applyAlignment="1">
      <alignment horizontal="center" vertical="center"/>
    </xf>
    <xf numFmtId="165" fontId="21" fillId="4" borderId="17" xfId="0" applyNumberFormat="1" applyFont="1" applyFill="1" applyBorder="1" applyAlignment="1">
      <alignment horizontal="center" vertical="center"/>
    </xf>
    <xf numFmtId="165" fontId="21" fillId="0" borderId="17" xfId="0" applyNumberFormat="1" applyFont="1" applyBorder="1" applyAlignment="1">
      <alignment horizontal="center" vertical="center"/>
    </xf>
    <xf numFmtId="165" fontId="21" fillId="0" borderId="16" xfId="0" applyNumberFormat="1" applyFont="1" applyBorder="1" applyAlignment="1">
      <alignment horizontal="center" vertical="center"/>
    </xf>
    <xf numFmtId="165" fontId="21" fillId="4" borderId="16" xfId="0" applyNumberFormat="1" applyFont="1" applyFill="1" applyBorder="1" applyAlignment="1">
      <alignment horizontal="center" vertical="center"/>
    </xf>
    <xf numFmtId="165" fontId="21" fillId="4" borderId="26" xfId="0" applyNumberFormat="1" applyFont="1" applyFill="1" applyBorder="1" applyAlignment="1">
      <alignment horizontal="center" vertical="center"/>
    </xf>
    <xf numFmtId="165" fontId="21" fillId="4" borderId="24" xfId="0" applyNumberFormat="1" applyFont="1" applyFill="1" applyBorder="1" applyAlignment="1">
      <alignment horizontal="center" vertical="center"/>
    </xf>
    <xf numFmtId="165" fontId="21" fillId="0" borderId="24" xfId="0" applyNumberFormat="1" applyFont="1" applyBorder="1" applyAlignment="1">
      <alignment horizontal="center" vertical="center"/>
    </xf>
    <xf numFmtId="165" fontId="21" fillId="0" borderId="25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 applyProtection="1">
      <alignment horizontal="center" vertical="top"/>
      <protection locked="0"/>
    </xf>
    <xf numFmtId="0" fontId="22" fillId="3" borderId="3" xfId="0" applyFont="1" applyFill="1" applyBorder="1" applyAlignment="1" applyProtection="1">
      <alignment horizontal="center" vertical="top"/>
      <protection locked="0"/>
    </xf>
    <xf numFmtId="0" fontId="22" fillId="3" borderId="21" xfId="0" applyFont="1" applyFill="1" applyBorder="1" applyAlignment="1" applyProtection="1">
      <alignment horizontal="center" vertical="top"/>
      <protection locked="0"/>
    </xf>
    <xf numFmtId="0" fontId="22" fillId="3" borderId="12" xfId="0" applyFont="1" applyFill="1" applyBorder="1" applyAlignment="1" applyProtection="1">
      <alignment horizontal="center" vertical="top"/>
      <protection locked="0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2</xdr:row>
      <xdr:rowOff>10417</xdr:rowOff>
    </xdr:from>
    <xdr:to>
      <xdr:col>16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4"/>
  <sheetViews>
    <sheetView tabSelected="1" workbookViewId="0">
      <selection activeCell="B1" sqref="B1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9.7109375" bestFit="1" customWidth="1"/>
    <col min="9" max="9" width="21.5703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15.140625" bestFit="1" customWidth="1"/>
    <col min="14" max="14" width="18.7109375" bestFit="1" customWidth="1"/>
    <col min="15" max="15" width="19.28515625" bestFit="1" customWidth="1"/>
    <col min="16" max="16" width="8.5703125" bestFit="1" customWidth="1"/>
    <col min="17" max="17" width="26.85546875" bestFit="1" customWidth="1"/>
    <col min="20" max="20" width="18.7109375" bestFit="1" customWidth="1"/>
  </cols>
  <sheetData>
    <row r="1" spans="1:21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82"/>
      <c r="K1" s="82"/>
      <c r="L1" s="82"/>
      <c r="M1" s="82"/>
      <c r="N1" s="82"/>
      <c r="O1" s="82"/>
      <c r="P1" s="82"/>
      <c r="Q1" s="83"/>
    </row>
    <row r="2" spans="1:21" ht="32.25" thickBot="1" x14ac:dyDescent="0.3">
      <c r="A2" s="1"/>
      <c r="B2" s="21"/>
      <c r="C2" s="39"/>
      <c r="D2" s="11" t="s">
        <v>0</v>
      </c>
      <c r="E2" s="11"/>
      <c r="F2" s="54" t="s">
        <v>140</v>
      </c>
      <c r="G2" s="12"/>
      <c r="H2" s="4"/>
      <c r="I2" s="12"/>
      <c r="J2" s="4"/>
      <c r="K2" s="4"/>
      <c r="L2" s="4"/>
      <c r="M2" s="4"/>
      <c r="N2" s="4"/>
      <c r="O2" s="4"/>
      <c r="P2" s="4"/>
      <c r="Q2" s="3"/>
    </row>
    <row r="3" spans="1:21" x14ac:dyDescent="0.25">
      <c r="A3" s="1"/>
      <c r="B3" s="22"/>
      <c r="C3" s="40"/>
      <c r="D3" s="13" t="s">
        <v>1</v>
      </c>
      <c r="E3" s="13"/>
      <c r="F3" s="55" t="s">
        <v>141</v>
      </c>
      <c r="G3" s="13"/>
      <c r="H3" s="5"/>
      <c r="I3" s="13"/>
      <c r="J3" s="5"/>
      <c r="K3" s="5"/>
      <c r="L3" s="5"/>
      <c r="M3" s="5"/>
      <c r="N3" s="5"/>
      <c r="O3" s="5"/>
      <c r="P3" s="5"/>
      <c r="Q3" s="84"/>
    </row>
    <row r="4" spans="1:21" x14ac:dyDescent="0.25">
      <c r="A4" s="1"/>
      <c r="B4" s="22"/>
      <c r="C4" s="40"/>
      <c r="D4" s="13" t="s">
        <v>2</v>
      </c>
      <c r="E4" s="13"/>
      <c r="F4" s="56" t="s">
        <v>141</v>
      </c>
      <c r="G4" s="14"/>
      <c r="H4" s="7"/>
      <c r="I4" s="14"/>
      <c r="J4" s="7"/>
      <c r="K4" s="6"/>
      <c r="L4" s="6"/>
      <c r="M4" s="6"/>
      <c r="N4" s="6"/>
      <c r="O4" s="6"/>
      <c r="P4" s="6"/>
      <c r="Q4" s="85"/>
    </row>
    <row r="5" spans="1:21" x14ac:dyDescent="0.25">
      <c r="A5" s="1"/>
      <c r="B5" s="22"/>
      <c r="C5" s="40"/>
      <c r="D5" s="13" t="s">
        <v>3</v>
      </c>
      <c r="E5" s="13"/>
      <c r="F5" s="57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85"/>
    </row>
    <row r="6" spans="1:21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85"/>
    </row>
    <row r="7" spans="1:21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5"/>
    </row>
    <row r="8" spans="1:21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5"/>
    </row>
    <row r="9" spans="1:21" ht="15.75" thickBot="1" x14ac:dyDescent="0.3">
      <c r="A9" s="1"/>
      <c r="B9" s="30" t="s">
        <v>4</v>
      </c>
      <c r="C9" s="30" t="s">
        <v>117</v>
      </c>
      <c r="D9" s="30" t="s">
        <v>6</v>
      </c>
      <c r="E9" s="31" t="s">
        <v>30</v>
      </c>
      <c r="F9" s="30" t="s">
        <v>54</v>
      </c>
      <c r="G9" s="31" t="s">
        <v>70</v>
      </c>
      <c r="H9" s="30" t="s">
        <v>84</v>
      </c>
      <c r="I9" s="30" t="s">
        <v>126</v>
      </c>
      <c r="J9" s="60" t="s">
        <v>127</v>
      </c>
      <c r="K9" s="30" t="s">
        <v>116</v>
      </c>
      <c r="L9" s="30" t="s">
        <v>132</v>
      </c>
      <c r="M9" s="60" t="s">
        <v>135</v>
      </c>
      <c r="N9" s="30" t="s">
        <v>136</v>
      </c>
      <c r="O9" s="30" t="s">
        <v>137</v>
      </c>
      <c r="P9" s="32" t="s">
        <v>128</v>
      </c>
      <c r="Q9" s="32" t="s">
        <v>129</v>
      </c>
    </row>
    <row r="10" spans="1:21" ht="15.75" thickBot="1" x14ac:dyDescent="0.3">
      <c r="A10" s="1"/>
      <c r="B10" s="38">
        <f>ROW(B10) - ROW($B$9)</f>
        <v>1</v>
      </c>
      <c r="C10" s="58" t="s">
        <v>118</v>
      </c>
      <c r="D10" s="46" t="s">
        <v>7</v>
      </c>
      <c r="E10" s="47" t="s">
        <v>31</v>
      </c>
      <c r="F10" s="61" t="s">
        <v>55</v>
      </c>
      <c r="G10" s="64" t="s">
        <v>71</v>
      </c>
      <c r="H10" s="46" t="s">
        <v>85</v>
      </c>
      <c r="I10" s="61" t="s">
        <v>130</v>
      </c>
      <c r="J10" s="64" t="s">
        <v>101</v>
      </c>
      <c r="K10" s="46">
        <v>1</v>
      </c>
      <c r="L10" s="46">
        <f>K10*5</f>
        <v>5</v>
      </c>
      <c r="M10" s="64">
        <v>7</v>
      </c>
      <c r="N10" s="73">
        <v>1.0179</v>
      </c>
      <c r="O10" s="53">
        <f>N10</f>
        <v>1.0179</v>
      </c>
      <c r="P10" s="48"/>
      <c r="Q10" s="49"/>
      <c r="S10" s="94"/>
      <c r="U10" s="94"/>
    </row>
    <row r="11" spans="1:21" ht="48.75" thickBot="1" x14ac:dyDescent="0.3">
      <c r="A11" s="1"/>
      <c r="B11" s="38">
        <f t="shared" ref="B11:B31" si="0">ROW(B11) - ROW($B$9)</f>
        <v>2</v>
      </c>
      <c r="C11" s="59" t="s">
        <v>118</v>
      </c>
      <c r="D11" s="50" t="s">
        <v>8</v>
      </c>
      <c r="E11" s="51" t="s">
        <v>32</v>
      </c>
      <c r="F11" s="62" t="s">
        <v>142</v>
      </c>
      <c r="G11" s="65" t="s">
        <v>143</v>
      </c>
      <c r="H11" s="50" t="s">
        <v>86</v>
      </c>
      <c r="I11" s="62" t="s">
        <v>130</v>
      </c>
      <c r="J11" s="65" t="s">
        <v>102</v>
      </c>
      <c r="K11" s="50">
        <v>1</v>
      </c>
      <c r="L11" s="50">
        <f t="shared" ref="L11:L32" si="1">K11*5</f>
        <v>5</v>
      </c>
      <c r="M11" s="65">
        <v>7</v>
      </c>
      <c r="N11" s="74">
        <v>0.53280000000000005</v>
      </c>
      <c r="O11" s="68">
        <f t="shared" ref="O11:O32" si="2">N11</f>
        <v>0.53280000000000005</v>
      </c>
      <c r="P11" s="52"/>
      <c r="Q11" s="52"/>
      <c r="S11" s="94"/>
      <c r="U11" s="94"/>
    </row>
    <row r="12" spans="1:21" ht="15.75" thickBot="1" x14ac:dyDescent="0.3">
      <c r="A12" s="1"/>
      <c r="B12" s="38">
        <f>ROW(B12) - ROW($B$9)</f>
        <v>3</v>
      </c>
      <c r="C12" s="58" t="s">
        <v>118</v>
      </c>
      <c r="D12" s="46" t="s">
        <v>9</v>
      </c>
      <c r="E12" s="47" t="s">
        <v>33</v>
      </c>
      <c r="F12" s="61" t="s">
        <v>56</v>
      </c>
      <c r="G12" s="64" t="s">
        <v>72</v>
      </c>
      <c r="H12" s="46" t="s">
        <v>87</v>
      </c>
      <c r="I12" s="61" t="s">
        <v>130</v>
      </c>
      <c r="J12" s="64" t="s">
        <v>103</v>
      </c>
      <c r="K12" s="46">
        <v>1</v>
      </c>
      <c r="L12" s="46">
        <f t="shared" si="1"/>
        <v>5</v>
      </c>
      <c r="M12" s="64">
        <v>100</v>
      </c>
      <c r="N12" s="75">
        <v>0.10340000000000001</v>
      </c>
      <c r="O12" s="53">
        <f t="shared" si="2"/>
        <v>0.10340000000000001</v>
      </c>
      <c r="P12" s="48"/>
      <c r="Q12" s="48"/>
      <c r="S12" s="94"/>
      <c r="U12" s="94"/>
    </row>
    <row r="13" spans="1:21" ht="15.75" thickBot="1" x14ac:dyDescent="0.3">
      <c r="A13" s="1"/>
      <c r="B13" s="38">
        <f t="shared" si="0"/>
        <v>4</v>
      </c>
      <c r="C13" s="59" t="s">
        <v>118</v>
      </c>
      <c r="D13" s="50" t="s">
        <v>10</v>
      </c>
      <c r="E13" s="51" t="s">
        <v>34</v>
      </c>
      <c r="F13" s="62" t="s">
        <v>56</v>
      </c>
      <c r="G13" s="65" t="s">
        <v>73</v>
      </c>
      <c r="H13" s="50" t="s">
        <v>87</v>
      </c>
      <c r="I13" s="62" t="s">
        <v>130</v>
      </c>
      <c r="J13" s="65" t="s">
        <v>104</v>
      </c>
      <c r="K13" s="50">
        <v>2</v>
      </c>
      <c r="L13" s="50">
        <f t="shared" si="1"/>
        <v>10</v>
      </c>
      <c r="M13" s="65">
        <v>100</v>
      </c>
      <c r="N13" s="74">
        <v>0.1033</v>
      </c>
      <c r="O13" s="68">
        <f t="shared" si="2"/>
        <v>0.1033</v>
      </c>
      <c r="P13" s="52"/>
      <c r="Q13" s="52"/>
      <c r="S13" s="94"/>
      <c r="U13" s="94"/>
    </row>
    <row r="14" spans="1:21" ht="15.75" thickBot="1" x14ac:dyDescent="0.3">
      <c r="A14" s="1"/>
      <c r="B14" s="38">
        <f>ROW(B14) - ROW($B$9)</f>
        <v>5</v>
      </c>
      <c r="C14" s="58" t="s">
        <v>118</v>
      </c>
      <c r="D14" s="46" t="s">
        <v>11</v>
      </c>
      <c r="E14" s="47" t="s">
        <v>35</v>
      </c>
      <c r="F14" s="61" t="s">
        <v>56</v>
      </c>
      <c r="G14" s="64" t="s">
        <v>74</v>
      </c>
      <c r="H14" s="46" t="s">
        <v>87</v>
      </c>
      <c r="I14" s="61" t="s">
        <v>130</v>
      </c>
      <c r="J14" s="64" t="s">
        <v>105</v>
      </c>
      <c r="K14" s="46">
        <v>1</v>
      </c>
      <c r="L14" s="46">
        <f t="shared" si="1"/>
        <v>5</v>
      </c>
      <c r="M14" s="64">
        <v>50</v>
      </c>
      <c r="N14" s="75">
        <v>0.1071</v>
      </c>
      <c r="O14" s="53">
        <f t="shared" si="2"/>
        <v>0.1071</v>
      </c>
      <c r="P14" s="48"/>
      <c r="Q14" s="48"/>
      <c r="S14" s="94"/>
      <c r="U14" s="94"/>
    </row>
    <row r="15" spans="1:21" ht="24.75" thickBot="1" x14ac:dyDescent="0.3">
      <c r="A15" s="1"/>
      <c r="B15" s="38">
        <f t="shared" si="0"/>
        <v>6</v>
      </c>
      <c r="C15" s="59" t="s">
        <v>119</v>
      </c>
      <c r="D15" s="50" t="s">
        <v>12</v>
      </c>
      <c r="E15" s="51" t="s">
        <v>36</v>
      </c>
      <c r="F15" s="62" t="s">
        <v>57</v>
      </c>
      <c r="G15" s="65" t="s">
        <v>106</v>
      </c>
      <c r="H15" s="50" t="s">
        <v>88</v>
      </c>
      <c r="I15" s="62" t="s">
        <v>130</v>
      </c>
      <c r="J15" s="65" t="s">
        <v>133</v>
      </c>
      <c r="K15" s="50">
        <v>1</v>
      </c>
      <c r="L15" s="50">
        <f t="shared" si="1"/>
        <v>5</v>
      </c>
      <c r="M15" s="65">
        <v>10</v>
      </c>
      <c r="N15" s="74">
        <v>0.1406</v>
      </c>
      <c r="O15" s="68">
        <f t="shared" si="2"/>
        <v>0.1406</v>
      </c>
      <c r="P15" s="52"/>
      <c r="Q15" s="52"/>
      <c r="S15" s="94"/>
      <c r="U15" s="94"/>
    </row>
    <row r="16" spans="1:21" ht="15.75" thickBot="1" x14ac:dyDescent="0.3">
      <c r="A16" s="1"/>
      <c r="B16" s="38">
        <f>ROW(B16) - ROW($B$9)</f>
        <v>7</v>
      </c>
      <c r="C16" s="58" t="s">
        <v>120</v>
      </c>
      <c r="D16" s="46" t="s">
        <v>13</v>
      </c>
      <c r="E16" s="47" t="s">
        <v>37</v>
      </c>
      <c r="F16" s="61" t="s">
        <v>58</v>
      </c>
      <c r="G16" s="64" t="s">
        <v>107</v>
      </c>
      <c r="H16" s="46" t="s">
        <v>89</v>
      </c>
      <c r="I16" s="61" t="s">
        <v>130</v>
      </c>
      <c r="J16" s="64" t="s">
        <v>134</v>
      </c>
      <c r="K16" s="46">
        <v>1</v>
      </c>
      <c r="L16" s="46">
        <f t="shared" si="1"/>
        <v>5</v>
      </c>
      <c r="M16" s="64">
        <v>20</v>
      </c>
      <c r="N16" s="76">
        <v>0.13140000000000002</v>
      </c>
      <c r="O16" s="53">
        <f t="shared" si="2"/>
        <v>0.13140000000000002</v>
      </c>
      <c r="P16" s="48"/>
      <c r="Q16" s="48"/>
      <c r="S16" s="94"/>
      <c r="U16" s="94"/>
    </row>
    <row r="17" spans="1:21" ht="36.75" thickBot="1" x14ac:dyDescent="0.3">
      <c r="A17" s="1"/>
      <c r="B17" s="38">
        <f t="shared" si="0"/>
        <v>8</v>
      </c>
      <c r="C17" s="59" t="s">
        <v>121</v>
      </c>
      <c r="D17" s="50" t="s">
        <v>14</v>
      </c>
      <c r="E17" s="51" t="s">
        <v>38</v>
      </c>
      <c r="F17" s="62" t="s">
        <v>142</v>
      </c>
      <c r="G17" s="65" t="s">
        <v>59</v>
      </c>
      <c r="H17" s="50" t="s">
        <v>90</v>
      </c>
      <c r="I17" s="62" t="s">
        <v>130</v>
      </c>
      <c r="J17" s="65" t="s">
        <v>108</v>
      </c>
      <c r="K17" s="50">
        <v>1</v>
      </c>
      <c r="L17" s="50">
        <f t="shared" si="1"/>
        <v>5</v>
      </c>
      <c r="M17" s="65">
        <v>7</v>
      </c>
      <c r="N17" s="77">
        <v>0.53280000000000005</v>
      </c>
      <c r="O17" s="68">
        <f t="shared" si="2"/>
        <v>0.53280000000000005</v>
      </c>
      <c r="P17" s="52"/>
      <c r="Q17" s="52"/>
      <c r="S17" s="94"/>
      <c r="U17" s="94"/>
    </row>
    <row r="18" spans="1:21" ht="15.75" thickBot="1" x14ac:dyDescent="0.3">
      <c r="A18" s="1"/>
      <c r="B18" s="38">
        <f>ROW(B18) - ROW($B$9)</f>
        <v>9</v>
      </c>
      <c r="C18" s="58" t="s">
        <v>121</v>
      </c>
      <c r="D18" s="46" t="s">
        <v>15</v>
      </c>
      <c r="E18" s="47" t="s">
        <v>39</v>
      </c>
      <c r="F18" s="61" t="s">
        <v>60</v>
      </c>
      <c r="G18" s="64" t="s">
        <v>75</v>
      </c>
      <c r="H18" s="46" t="s">
        <v>90</v>
      </c>
      <c r="I18" s="61" t="s">
        <v>130</v>
      </c>
      <c r="J18" s="64" t="s">
        <v>134</v>
      </c>
      <c r="K18" s="46">
        <v>1</v>
      </c>
      <c r="L18" s="46">
        <f t="shared" si="1"/>
        <v>5</v>
      </c>
      <c r="M18" s="64">
        <v>50</v>
      </c>
      <c r="N18" s="75">
        <v>0.11560000000000001</v>
      </c>
      <c r="O18" s="53">
        <f t="shared" si="2"/>
        <v>0.11560000000000001</v>
      </c>
      <c r="P18" s="48"/>
      <c r="Q18" s="48"/>
      <c r="S18" s="94"/>
      <c r="U18" s="94"/>
    </row>
    <row r="19" spans="1:21" ht="15.75" thickBot="1" x14ac:dyDescent="0.3">
      <c r="A19" s="1"/>
      <c r="B19" s="38">
        <f t="shared" si="0"/>
        <v>10</v>
      </c>
      <c r="C19" s="59" t="s">
        <v>120</v>
      </c>
      <c r="D19" s="50" t="s">
        <v>16</v>
      </c>
      <c r="E19" s="51" t="s">
        <v>40</v>
      </c>
      <c r="F19" s="62" t="s">
        <v>61</v>
      </c>
      <c r="G19" s="69">
        <v>61300211121</v>
      </c>
      <c r="H19" s="50" t="s">
        <v>91</v>
      </c>
      <c r="I19" s="62" t="s">
        <v>131</v>
      </c>
      <c r="J19" s="65" t="s">
        <v>134</v>
      </c>
      <c r="K19" s="50">
        <v>10</v>
      </c>
      <c r="L19" s="50">
        <f t="shared" si="1"/>
        <v>50</v>
      </c>
      <c r="M19" s="65">
        <v>100</v>
      </c>
      <c r="N19" s="78">
        <v>0.109</v>
      </c>
      <c r="O19" s="68">
        <f t="shared" si="2"/>
        <v>0.109</v>
      </c>
      <c r="P19" s="52"/>
      <c r="Q19" s="52"/>
      <c r="S19" s="94"/>
      <c r="U19" s="94"/>
    </row>
    <row r="20" spans="1:21" ht="15.75" thickBot="1" x14ac:dyDescent="0.3">
      <c r="A20" s="1"/>
      <c r="B20" s="38">
        <f>ROW(B20) - ROW($B$9)</f>
        <v>11</v>
      </c>
      <c r="C20" s="58" t="s">
        <v>122</v>
      </c>
      <c r="D20" s="46" t="s">
        <v>17</v>
      </c>
      <c r="E20" s="47" t="s">
        <v>41</v>
      </c>
      <c r="F20" s="61" t="s">
        <v>62</v>
      </c>
      <c r="G20" s="64" t="s">
        <v>76</v>
      </c>
      <c r="H20" s="46" t="s">
        <v>92</v>
      </c>
      <c r="I20" s="61" t="s">
        <v>130</v>
      </c>
      <c r="J20" s="64"/>
      <c r="K20" s="46">
        <v>4</v>
      </c>
      <c r="L20" s="46">
        <f t="shared" si="1"/>
        <v>20</v>
      </c>
      <c r="M20" s="64">
        <v>22</v>
      </c>
      <c r="N20" s="75">
        <v>0.46440000000000003</v>
      </c>
      <c r="O20" s="53">
        <f t="shared" si="2"/>
        <v>0.46440000000000003</v>
      </c>
      <c r="P20" s="48"/>
      <c r="Q20" s="48"/>
      <c r="S20" s="94"/>
      <c r="U20" s="94"/>
    </row>
    <row r="21" spans="1:21" ht="24.75" thickBot="1" x14ac:dyDescent="0.3">
      <c r="A21" s="1"/>
      <c r="B21" s="38">
        <f t="shared" si="0"/>
        <v>12</v>
      </c>
      <c r="C21" s="59" t="s">
        <v>123</v>
      </c>
      <c r="D21" s="50" t="s">
        <v>18</v>
      </c>
      <c r="E21" s="51" t="s">
        <v>42</v>
      </c>
      <c r="F21" s="62" t="s">
        <v>63</v>
      </c>
      <c r="G21" s="65" t="s">
        <v>144</v>
      </c>
      <c r="H21" s="50" t="s">
        <v>93</v>
      </c>
      <c r="I21" s="62" t="s">
        <v>130</v>
      </c>
      <c r="J21" s="65" t="s">
        <v>109</v>
      </c>
      <c r="K21" s="50">
        <v>1</v>
      </c>
      <c r="L21" s="50">
        <f t="shared" si="1"/>
        <v>5</v>
      </c>
      <c r="M21" s="65">
        <v>50</v>
      </c>
      <c r="N21" s="77">
        <v>0.1043</v>
      </c>
      <c r="O21" s="68">
        <f t="shared" si="2"/>
        <v>0.1043</v>
      </c>
      <c r="P21" s="52"/>
      <c r="Q21" s="52"/>
      <c r="S21" s="94"/>
      <c r="U21" s="94"/>
    </row>
    <row r="22" spans="1:21" ht="15.75" thickBot="1" x14ac:dyDescent="0.3">
      <c r="A22" s="1"/>
      <c r="B22" s="38">
        <f>ROW(B22) - ROW($B$9)</f>
        <v>13</v>
      </c>
      <c r="C22" s="58" t="s">
        <v>123</v>
      </c>
      <c r="D22" s="46" t="s">
        <v>19</v>
      </c>
      <c r="E22" s="47" t="s">
        <v>43</v>
      </c>
      <c r="F22" s="61" t="s">
        <v>63</v>
      </c>
      <c r="G22" s="64" t="s">
        <v>77</v>
      </c>
      <c r="H22" s="46" t="s">
        <v>87</v>
      </c>
      <c r="I22" s="61" t="s">
        <v>130</v>
      </c>
      <c r="J22" s="64" t="s">
        <v>110</v>
      </c>
      <c r="K22" s="46">
        <v>1</v>
      </c>
      <c r="L22" s="46">
        <f t="shared" si="1"/>
        <v>5</v>
      </c>
      <c r="M22" s="64">
        <v>100</v>
      </c>
      <c r="N22" s="75">
        <v>0.10150000000000001</v>
      </c>
      <c r="O22" s="53">
        <f t="shared" si="2"/>
        <v>0.10150000000000001</v>
      </c>
      <c r="P22" s="48"/>
      <c r="Q22" s="48"/>
      <c r="S22" s="94"/>
      <c r="U22" s="94"/>
    </row>
    <row r="23" spans="1:21" ht="15.75" thickBot="1" x14ac:dyDescent="0.3">
      <c r="A23" s="1"/>
      <c r="B23" s="38">
        <f t="shared" si="0"/>
        <v>14</v>
      </c>
      <c r="C23" s="59" t="s">
        <v>123</v>
      </c>
      <c r="D23" s="50" t="s">
        <v>20</v>
      </c>
      <c r="E23" s="51" t="s">
        <v>44</v>
      </c>
      <c r="F23" s="62" t="s">
        <v>64</v>
      </c>
      <c r="G23" s="65" t="s">
        <v>78</v>
      </c>
      <c r="H23" s="50" t="s">
        <v>87</v>
      </c>
      <c r="I23" s="62" t="s">
        <v>130</v>
      </c>
      <c r="J23" s="65" t="s">
        <v>111</v>
      </c>
      <c r="K23" s="50">
        <v>4</v>
      </c>
      <c r="L23" s="50">
        <f t="shared" si="1"/>
        <v>20</v>
      </c>
      <c r="M23" s="65">
        <v>100</v>
      </c>
      <c r="N23" s="74">
        <v>0.10120000000000001</v>
      </c>
      <c r="O23" s="68">
        <f t="shared" si="2"/>
        <v>0.10120000000000001</v>
      </c>
      <c r="P23" s="52"/>
      <c r="Q23" s="52"/>
      <c r="S23" s="94"/>
      <c r="U23" s="94"/>
    </row>
    <row r="24" spans="1:21" ht="15.75" thickBot="1" x14ac:dyDescent="0.3">
      <c r="A24" s="1"/>
      <c r="B24" s="38">
        <f>ROW(B24) - ROW($B$9)</f>
        <v>15</v>
      </c>
      <c r="C24" s="58" t="s">
        <v>123</v>
      </c>
      <c r="D24" s="46" t="s">
        <v>21</v>
      </c>
      <c r="E24" s="47" t="s">
        <v>45</v>
      </c>
      <c r="F24" s="61" t="s">
        <v>63</v>
      </c>
      <c r="G24" s="64" t="s">
        <v>79</v>
      </c>
      <c r="H24" s="46" t="s">
        <v>94</v>
      </c>
      <c r="I24" s="61" t="s">
        <v>130</v>
      </c>
      <c r="J24" s="64" t="s">
        <v>112</v>
      </c>
      <c r="K24" s="46">
        <v>5</v>
      </c>
      <c r="L24" s="46">
        <f t="shared" si="1"/>
        <v>25</v>
      </c>
      <c r="M24" s="64">
        <v>100</v>
      </c>
      <c r="N24" s="75">
        <v>0.1017</v>
      </c>
      <c r="O24" s="53">
        <f t="shared" si="2"/>
        <v>0.1017</v>
      </c>
      <c r="P24" s="48"/>
      <c r="Q24" s="48"/>
      <c r="S24" s="94"/>
      <c r="U24" s="94"/>
    </row>
    <row r="25" spans="1:21" ht="36.75" thickBot="1" x14ac:dyDescent="0.3">
      <c r="A25" s="1"/>
      <c r="B25" s="38">
        <f t="shared" si="0"/>
        <v>16</v>
      </c>
      <c r="C25" s="59" t="s">
        <v>123</v>
      </c>
      <c r="D25" s="50" t="s">
        <v>22</v>
      </c>
      <c r="E25" s="51" t="s">
        <v>46</v>
      </c>
      <c r="F25" s="62" t="s">
        <v>145</v>
      </c>
      <c r="G25" s="65" t="s">
        <v>80</v>
      </c>
      <c r="H25" s="50" t="s">
        <v>87</v>
      </c>
      <c r="I25" s="62" t="s">
        <v>130</v>
      </c>
      <c r="J25" s="65" t="s">
        <v>113</v>
      </c>
      <c r="K25" s="50">
        <v>5</v>
      </c>
      <c r="L25" s="50">
        <f t="shared" si="1"/>
        <v>25</v>
      </c>
      <c r="M25" s="65">
        <v>50</v>
      </c>
      <c r="N25" s="74">
        <v>0.1013</v>
      </c>
      <c r="O25" s="68">
        <f t="shared" si="2"/>
        <v>0.1013</v>
      </c>
      <c r="P25" s="52"/>
      <c r="Q25" s="52"/>
      <c r="S25" s="94"/>
      <c r="U25" s="94"/>
    </row>
    <row r="26" spans="1:21" ht="15.75" thickBot="1" x14ac:dyDescent="0.3">
      <c r="A26" s="1"/>
      <c r="B26" s="38">
        <f>ROW(B26) - ROW($B$9)</f>
        <v>17</v>
      </c>
      <c r="C26" s="58" t="s">
        <v>123</v>
      </c>
      <c r="D26" s="46" t="s">
        <v>23</v>
      </c>
      <c r="E26" s="47" t="s">
        <v>47</v>
      </c>
      <c r="F26" s="61" t="s">
        <v>63</v>
      </c>
      <c r="G26" s="64" t="s">
        <v>81</v>
      </c>
      <c r="H26" s="46" t="s">
        <v>87</v>
      </c>
      <c r="I26" s="61" t="s">
        <v>130</v>
      </c>
      <c r="J26" s="64" t="s">
        <v>114</v>
      </c>
      <c r="K26" s="46">
        <v>1</v>
      </c>
      <c r="L26" s="46">
        <f t="shared" si="1"/>
        <v>5</v>
      </c>
      <c r="M26" s="64">
        <v>100</v>
      </c>
      <c r="N26" s="75">
        <v>0.10150000000000001</v>
      </c>
      <c r="O26" s="53">
        <f t="shared" si="2"/>
        <v>0.10150000000000001</v>
      </c>
      <c r="P26" s="48"/>
      <c r="Q26" s="48"/>
      <c r="S26" s="94"/>
      <c r="U26" s="94"/>
    </row>
    <row r="27" spans="1:21" ht="36.75" thickBot="1" x14ac:dyDescent="0.3">
      <c r="A27" s="1"/>
      <c r="B27" s="38">
        <f t="shared" si="0"/>
        <v>18</v>
      </c>
      <c r="C27" s="59" t="s">
        <v>123</v>
      </c>
      <c r="D27" s="50" t="s">
        <v>24</v>
      </c>
      <c r="E27" s="51" t="s">
        <v>48</v>
      </c>
      <c r="F27" s="62" t="s">
        <v>63</v>
      </c>
      <c r="G27" s="65" t="s">
        <v>146</v>
      </c>
      <c r="H27" s="50" t="s">
        <v>95</v>
      </c>
      <c r="I27" s="62" t="s">
        <v>130</v>
      </c>
      <c r="J27" s="65" t="s">
        <v>115</v>
      </c>
      <c r="K27" s="50">
        <v>1</v>
      </c>
      <c r="L27" s="50">
        <f t="shared" si="1"/>
        <v>5</v>
      </c>
      <c r="M27" s="65">
        <v>100</v>
      </c>
      <c r="N27" s="79">
        <v>0.1013</v>
      </c>
      <c r="O27" s="68">
        <f t="shared" si="2"/>
        <v>0.1013</v>
      </c>
      <c r="P27" s="52"/>
      <c r="Q27" s="52"/>
      <c r="S27" s="94"/>
      <c r="U27" s="94"/>
    </row>
    <row r="28" spans="1:21" ht="36.75" thickBot="1" x14ac:dyDescent="0.3">
      <c r="A28" s="1"/>
      <c r="B28" s="38">
        <f>ROW(B28) - ROW($B$9)</f>
        <v>19</v>
      </c>
      <c r="C28" s="58" t="s">
        <v>124</v>
      </c>
      <c r="D28" s="46" t="s">
        <v>25</v>
      </c>
      <c r="E28" s="47" t="s">
        <v>49</v>
      </c>
      <c r="F28" s="61" t="s">
        <v>142</v>
      </c>
      <c r="G28" s="64" t="s">
        <v>65</v>
      </c>
      <c r="H28" s="46" t="s">
        <v>96</v>
      </c>
      <c r="I28" s="61" t="s">
        <v>130</v>
      </c>
      <c r="J28" s="64" t="s">
        <v>133</v>
      </c>
      <c r="K28" s="46">
        <v>1</v>
      </c>
      <c r="L28" s="46">
        <f t="shared" si="1"/>
        <v>5</v>
      </c>
      <c r="M28" s="64">
        <v>10</v>
      </c>
      <c r="N28" s="80">
        <v>0.15910000000000002</v>
      </c>
      <c r="O28" s="53">
        <f t="shared" si="2"/>
        <v>0.15910000000000002</v>
      </c>
      <c r="P28" s="48"/>
      <c r="Q28" s="48"/>
      <c r="S28" s="94"/>
      <c r="U28" s="94"/>
    </row>
    <row r="29" spans="1:21" ht="36.75" thickBot="1" x14ac:dyDescent="0.3">
      <c r="A29" s="1"/>
      <c r="B29" s="38">
        <f t="shared" si="0"/>
        <v>20</v>
      </c>
      <c r="C29" s="59" t="s">
        <v>125</v>
      </c>
      <c r="D29" s="50" t="s">
        <v>26</v>
      </c>
      <c r="E29" s="51" t="s">
        <v>50</v>
      </c>
      <c r="F29" s="62" t="s">
        <v>66</v>
      </c>
      <c r="G29" s="65" t="s">
        <v>82</v>
      </c>
      <c r="H29" s="50" t="s">
        <v>97</v>
      </c>
      <c r="I29" s="62" t="s">
        <v>130</v>
      </c>
      <c r="J29" s="65" t="s">
        <v>133</v>
      </c>
      <c r="K29" s="50">
        <v>1</v>
      </c>
      <c r="L29" s="50">
        <f t="shared" si="1"/>
        <v>5</v>
      </c>
      <c r="M29" s="65">
        <v>6</v>
      </c>
      <c r="N29" s="74">
        <v>0.59409999999999996</v>
      </c>
      <c r="O29" s="68">
        <f t="shared" si="2"/>
        <v>0.59409999999999996</v>
      </c>
      <c r="P29" s="52"/>
      <c r="Q29" s="52"/>
      <c r="S29" s="94"/>
      <c r="U29" s="94"/>
    </row>
    <row r="30" spans="1:21" ht="15.75" thickBot="1" x14ac:dyDescent="0.3">
      <c r="A30" s="1"/>
      <c r="B30" s="38">
        <f>ROW(B30) - ROW($B$9)</f>
        <v>21</v>
      </c>
      <c r="C30" s="58" t="s">
        <v>125</v>
      </c>
      <c r="D30" s="46" t="s">
        <v>27</v>
      </c>
      <c r="E30" s="47" t="s">
        <v>51</v>
      </c>
      <c r="F30" s="61" t="s">
        <v>67</v>
      </c>
      <c r="G30" s="64" t="s">
        <v>83</v>
      </c>
      <c r="H30" s="46" t="s">
        <v>98</v>
      </c>
      <c r="I30" s="61" t="s">
        <v>130</v>
      </c>
      <c r="J30" s="64" t="s">
        <v>133</v>
      </c>
      <c r="K30" s="46">
        <v>1</v>
      </c>
      <c r="L30" s="46">
        <f t="shared" si="1"/>
        <v>5</v>
      </c>
      <c r="M30" s="64">
        <v>6</v>
      </c>
      <c r="N30" s="75">
        <v>2.0493999999999999</v>
      </c>
      <c r="O30" s="53">
        <f t="shared" si="2"/>
        <v>2.0493999999999999</v>
      </c>
      <c r="P30" s="48"/>
      <c r="Q30" s="48"/>
      <c r="S30" s="94"/>
      <c r="U30" s="94"/>
    </row>
    <row r="31" spans="1:21" ht="15.75" thickBot="1" x14ac:dyDescent="0.3">
      <c r="A31" s="1"/>
      <c r="B31" s="38">
        <f t="shared" si="0"/>
        <v>22</v>
      </c>
      <c r="C31" s="59" t="s">
        <v>125</v>
      </c>
      <c r="D31" s="50" t="s">
        <v>28</v>
      </c>
      <c r="E31" s="51" t="s">
        <v>52</v>
      </c>
      <c r="F31" s="62" t="s">
        <v>147</v>
      </c>
      <c r="G31" s="65" t="s">
        <v>68</v>
      </c>
      <c r="H31" s="50" t="s">
        <v>99</v>
      </c>
      <c r="I31" s="62" t="s">
        <v>130</v>
      </c>
      <c r="J31" s="65" t="s">
        <v>133</v>
      </c>
      <c r="K31" s="50">
        <v>1</v>
      </c>
      <c r="L31" s="50">
        <f t="shared" si="1"/>
        <v>5</v>
      </c>
      <c r="M31" s="65">
        <v>6</v>
      </c>
      <c r="N31" s="74">
        <v>1.0468</v>
      </c>
      <c r="O31" s="68">
        <f t="shared" si="2"/>
        <v>1.0468</v>
      </c>
      <c r="P31" s="52"/>
      <c r="Q31" s="52"/>
      <c r="S31" s="94"/>
      <c r="U31" s="94"/>
    </row>
    <row r="32" spans="1:21" ht="36.75" thickBot="1" x14ac:dyDescent="0.3">
      <c r="A32" s="1"/>
      <c r="B32" s="38">
        <f>ROW(B32) - ROW($B$9)</f>
        <v>23</v>
      </c>
      <c r="C32" s="58" t="s">
        <v>125</v>
      </c>
      <c r="D32" s="46" t="s">
        <v>29</v>
      </c>
      <c r="E32" s="47" t="s">
        <v>53</v>
      </c>
      <c r="F32" s="63" t="s">
        <v>148</v>
      </c>
      <c r="G32" s="66" t="s">
        <v>69</v>
      </c>
      <c r="H32" s="46" t="s">
        <v>100</v>
      </c>
      <c r="I32" s="63" t="s">
        <v>130</v>
      </c>
      <c r="J32" s="66" t="s">
        <v>133</v>
      </c>
      <c r="K32" s="67">
        <v>1</v>
      </c>
      <c r="L32" s="46">
        <f t="shared" si="1"/>
        <v>5</v>
      </c>
      <c r="M32" s="66">
        <v>6</v>
      </c>
      <c r="N32" s="81">
        <v>0.64279999999999993</v>
      </c>
      <c r="O32" s="70">
        <f t="shared" si="2"/>
        <v>0.64279999999999993</v>
      </c>
      <c r="P32" s="48"/>
      <c r="Q32" s="48"/>
      <c r="S32" s="94"/>
      <c r="U32" s="94"/>
    </row>
    <row r="33" spans="1:17" ht="19.5" thickBot="1" x14ac:dyDescent="0.3">
      <c r="A33" s="1"/>
      <c r="B33" s="33"/>
      <c r="C33" s="44"/>
      <c r="D33" s="34"/>
      <c r="E33" s="35"/>
      <c r="F33" s="36"/>
      <c r="G33" s="37"/>
      <c r="H33" s="36"/>
      <c r="I33" s="37"/>
      <c r="J33" s="37"/>
      <c r="K33" s="37"/>
      <c r="L33" s="37"/>
      <c r="M33" s="90" t="s">
        <v>138</v>
      </c>
      <c r="N33" s="91"/>
      <c r="O33" s="72">
        <f>SUM(O10:O32)</f>
        <v>8.5632999999999999</v>
      </c>
      <c r="P33" s="86"/>
      <c r="Q33" s="87"/>
    </row>
    <row r="34" spans="1:17" ht="19.5" thickBot="1" x14ac:dyDescent="0.3">
      <c r="A34" s="1"/>
      <c r="B34" s="25"/>
      <c r="C34" s="45"/>
      <c r="D34" s="9"/>
      <c r="E34" s="10"/>
      <c r="F34" s="10"/>
      <c r="G34" s="10"/>
      <c r="H34" s="10"/>
      <c r="I34" s="10"/>
      <c r="J34" s="10"/>
      <c r="K34" s="10"/>
      <c r="L34" s="10"/>
      <c r="M34" s="92" t="s">
        <v>139</v>
      </c>
      <c r="N34" s="93"/>
      <c r="O34" s="71">
        <f>O33/5</f>
        <v>1.7126600000000001</v>
      </c>
      <c r="P34" s="88"/>
      <c r="Q34" s="89"/>
    </row>
  </sheetData>
  <mergeCells count="5">
    <mergeCell ref="J1:Q1"/>
    <mergeCell ref="Q3:Q8"/>
    <mergeCell ref="P33:Q34"/>
    <mergeCell ref="M33:N33"/>
    <mergeCell ref="M34:N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2022-10-31T14:59:06Z</dcterms:modified>
</cp:coreProperties>
</file>