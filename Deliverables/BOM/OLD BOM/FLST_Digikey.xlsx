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lst\Deliverables\BOM\"/>
    </mc:Choice>
  </mc:AlternateContent>
  <bookViews>
    <workbookView xWindow="-120" yWindow="-120" windowWidth="20730" windowHeight="11160"/>
  </bookViews>
  <sheets>
    <sheet name="Single Boar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0" i="1" l="1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K10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O26" i="1" l="1"/>
  <c r="O27" i="1" s="1"/>
</calcChain>
</file>

<file path=xl/sharedStrings.xml><?xml version="1.0" encoding="utf-8"?>
<sst xmlns="http://schemas.openxmlformats.org/spreadsheetml/2006/main" count="210" uniqueCount="140">
  <si>
    <t>Description</t>
  </si>
  <si>
    <t>Designator</t>
  </si>
  <si>
    <t>Manufacturer</t>
  </si>
  <si>
    <t>Manufacturer Part Number</t>
  </si>
  <si>
    <t>0.1uF</t>
  </si>
  <si>
    <t>TDK</t>
  </si>
  <si>
    <t>Diodes</t>
  </si>
  <si>
    <t>J1</t>
  </si>
  <si>
    <t>Wurth Electronics</t>
  </si>
  <si>
    <t>Yageo</t>
  </si>
  <si>
    <t>S. No.</t>
  </si>
  <si>
    <t>Components</t>
  </si>
  <si>
    <t>Footprint (Package)</t>
  </si>
  <si>
    <t>Alternate</t>
  </si>
  <si>
    <t>Value</t>
  </si>
  <si>
    <t>Quantity (Per Board)</t>
  </si>
  <si>
    <t>DigiKey Link</t>
  </si>
  <si>
    <t>Unit Cost(1)</t>
  </si>
  <si>
    <t>Total Cost(1)</t>
  </si>
  <si>
    <t>Remarks</t>
  </si>
  <si>
    <t>Capacitor</t>
  </si>
  <si>
    <t>Diode</t>
  </si>
  <si>
    <t>Resistor</t>
  </si>
  <si>
    <t>Ics</t>
  </si>
  <si>
    <t>Connector</t>
  </si>
  <si>
    <t xml:space="preserve">Total Component Cost </t>
  </si>
  <si>
    <t>Single Board Cost</t>
  </si>
  <si>
    <t>----------</t>
  </si>
  <si>
    <t>1uF</t>
  </si>
  <si>
    <t>470uF</t>
  </si>
  <si>
    <t>SMA</t>
  </si>
  <si>
    <t>10K</t>
  </si>
  <si>
    <t>L1</t>
  </si>
  <si>
    <t>L2</t>
  </si>
  <si>
    <t>Inductor</t>
  </si>
  <si>
    <t>U1</t>
  </si>
  <si>
    <t>Texas Instruments</t>
  </si>
  <si>
    <t>U2</t>
  </si>
  <si>
    <t>Microchip</t>
  </si>
  <si>
    <t>U3</t>
  </si>
  <si>
    <t>U4</t>
  </si>
  <si>
    <t>CONN HEADER VERT 2POS 2.54MM</t>
  </si>
  <si>
    <t>DigiKey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</si>
  <si>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</si>
  <si>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</si>
  <si>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</si>
  <si>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0.1UF 50V Y5V 0603</t>
  </si>
  <si>
    <t>CAP CER 1UF 25V X5R 0603</t>
  </si>
  <si>
    <t>40V 500mV@2A 2A SMA(DO-214AC) Schottky Barrier Diodes (SBD) ROHS</t>
  </si>
  <si>
    <t>Pin Header 5 1 right-angle</t>
  </si>
  <si>
    <t>Inductor Power Shielded Wirewound 220uH 20% 1KHz Ferrite 1.3A 310mOhm DCR Blister T/R</t>
  </si>
  <si>
    <t>FERRITE BEAD 600 OHM 0201 1LN</t>
  </si>
  <si>
    <t>MOSFET N-CH 130V 1A SOT23</t>
  </si>
  <si>
    <t>0.33Ω 0603 Chip Resistor - Surface Mount ROHS</t>
  </si>
  <si>
    <t>RES SMD 4.7K OHM 1% 1/10W 0603</t>
  </si>
  <si>
    <t>RES SMD 10K OHM 1% 1/20W 0201</t>
  </si>
  <si>
    <t>RES SMD 3.3K OHM 1% 1/10W 0603</t>
  </si>
  <si>
    <t>RES SMD 200 OHM 0.5% 1/10W 0603</t>
  </si>
  <si>
    <t>RES SMD 2K OHM 1% 1/10W 0603</t>
  </si>
  <si>
    <t>±1% 1/10W Thick Film Resistors 75V ±100ppm/℃ -55℃~+155℃ 1.2kΩ 0603 Chip Resistor - Surface Mount ROHS</t>
  </si>
  <si>
    <t>3mm 2mm Round Button 50mA Top3.65mm SPST 12V SMD Tactile Switches</t>
  </si>
  <si>
    <t>1.5-A boost, buck, inverting switching regulator, operation from 0°C to 70°C 8-SOIC 0 to 70</t>
  </si>
  <si>
    <t>IC MCU 8BIT 16KB FLASH 20VQFN</t>
  </si>
  <si>
    <t>OPTOISO 3.75KV 4CH TRANS 16SO</t>
  </si>
  <si>
    <t>TransistorOptocouplers DC 1 2500Vrms SOP-4_P1.27 Optocouplers RoHS</t>
  </si>
  <si>
    <t>C1</t>
  </si>
  <si>
    <t>C2</t>
  </si>
  <si>
    <t>C3</t>
  </si>
  <si>
    <t>C4, C6</t>
  </si>
  <si>
    <t>C5</t>
  </si>
  <si>
    <t>D1</t>
  </si>
  <si>
    <t>P1, P2, P3, P4, P5, P6, P7, P8, P9, P10</t>
  </si>
  <si>
    <t>Q1, Q2, Q3, Q4</t>
  </si>
  <si>
    <t>R1</t>
  </si>
  <si>
    <t>R2</t>
  </si>
  <si>
    <t>R3, R8, R14, R15</t>
  </si>
  <si>
    <t>R4, R5, R6, R7, R9</t>
  </si>
  <si>
    <t>R10, R11, R12, R13, R16</t>
  </si>
  <si>
    <t>RF1</t>
  </si>
  <si>
    <t>RF2</t>
  </si>
  <si>
    <t>SW1</t>
  </si>
  <si>
    <t>CAP- 2917</t>
  </si>
  <si>
    <t>TAJE107M025RNJ</t>
  </si>
  <si>
    <t>VT1H471MI135000CE0</t>
  </si>
  <si>
    <t>Cap0603</t>
  </si>
  <si>
    <t>CC0603KRX7R9BB471</t>
  </si>
  <si>
    <t>CC0603ZRY5V9BB104</t>
  </si>
  <si>
    <t>CC0603KRX5R8BB105</t>
  </si>
  <si>
    <t>SS24A</t>
  </si>
  <si>
    <t>HDR1X5</t>
  </si>
  <si>
    <t>PZ254V-11-05P</t>
  </si>
  <si>
    <t>SLF12575T-221M1R3-PF</t>
  </si>
  <si>
    <t>IND 0201</t>
  </si>
  <si>
    <t>MMZ0603S601CT000</t>
  </si>
  <si>
    <t>HDR1X2</t>
  </si>
  <si>
    <t>SOT23-3</t>
  </si>
  <si>
    <t>DMN13H750S-7</t>
  </si>
  <si>
    <t>RES-0603</t>
  </si>
  <si>
    <t>RTT03R330FTP</t>
  </si>
  <si>
    <t>RC0603FR-074K7L</t>
  </si>
  <si>
    <t>Res-0201</t>
  </si>
  <si>
    <t>RC0201FR-0710KL</t>
  </si>
  <si>
    <t>RC0603FR-073K3L</t>
  </si>
  <si>
    <t>RT0603DRD07200RL</t>
  </si>
  <si>
    <t>RC0603FR-072KL</t>
  </si>
  <si>
    <t>0603WAF1201T5E</t>
  </si>
  <si>
    <t>TS-1185EC-C-D-B</t>
  </si>
  <si>
    <t>SOIC-8</t>
  </si>
  <si>
    <t>MC34063ADR</t>
  </si>
  <si>
    <t>20-QFN</t>
  </si>
  <si>
    <t>ATTINY1616-MNR</t>
  </si>
  <si>
    <t>LTV-247</t>
  </si>
  <si>
    <t>PS2801C-1-F3-A</t>
  </si>
  <si>
    <t>Kyocera AVX</t>
  </si>
  <si>
    <t>Changzhou Huawei Elec</t>
  </si>
  <si>
    <t>Yangzhou</t>
  </si>
  <si>
    <t>XFCN</t>
  </si>
  <si>
    <t>RALEC</t>
  </si>
  <si>
    <t>Yageo Phycomp</t>
  </si>
  <si>
    <t>UNI-ROYAL</t>
  </si>
  <si>
    <t>XKB</t>
  </si>
  <si>
    <t>Vishay Lite-On</t>
  </si>
  <si>
    <t>CEL</t>
  </si>
  <si>
    <t>100uF</t>
  </si>
  <si>
    <t>470pF</t>
  </si>
  <si>
    <t>220uH</t>
  </si>
  <si>
    <t>0.33R</t>
  </si>
  <si>
    <t>4.7K</t>
  </si>
  <si>
    <t>3.3K</t>
  </si>
  <si>
    <t>200R</t>
  </si>
  <si>
    <t>2K</t>
  </si>
  <si>
    <t>1.2K</t>
  </si>
  <si>
    <t>Quantity 5 Board</t>
  </si>
  <si>
    <t>Desired Quantity 5  Board</t>
  </si>
  <si>
    <t>Transistor</t>
  </si>
  <si>
    <t>Switch</t>
  </si>
  <si>
    <t>CDBA240-G</t>
  </si>
  <si>
    <t>Custom-Supplier</t>
  </si>
  <si>
    <t>Custom supplier</t>
  </si>
  <si>
    <t>Bill of Material (BOM) for Oliver - Junction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</si>
</sst>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4" fillId="0" borderId="1" xfId="1" quotePrefix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center" vertical="center"/>
    </xf>
    <xf numFmtId="165" fontId="7" fillId="3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1" xfId="0" quotePrefix="1" applyBorder="1" applyAlignment="1">
      <alignment wrapText="1"/>
    </xf>
    <xf numFmtId="0" fontId="2" fillId="0" borderId="10" xfId="0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/>
    </xf>
    <xf numFmtId="0" fontId="6" fillId="3" borderId="8" xfId="0" applyFont="1" applyFill="1" applyBorder="1" applyAlignment="1">
      <alignment wrapText="1"/>
    </xf>
    <xf numFmtId="164" fontId="6" fillId="3" borderId="8" xfId="0" applyNumberFormat="1" applyFont="1" applyFill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diodes-incorporated/DMN13H750S-7/5126837?s=N4IgTCBcDaICIFkByBGAzACQOwFYAMAygLRYgC6AvkA" TargetMode="External"/><Relationship Id="rId13" Type="http://schemas.openxmlformats.org/officeDocument/2006/relationships/hyperlink" Target="https://www.digikey.com/en/products/detail/yageo/RC0603FR-072KL/727009?s=N4IgTCBcDaIEoGEAMA2JBmAYnAtEg7GANIAyIAugL5A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yageo/CC0603ZRY5V9BB104/2103081?s=N4IgTCBcDaIMJwAwDZEGYBaAlAmgVgDUBOAIRIEZEAWEAXQF8g" TargetMode="External"/><Relationship Id="rId7" Type="http://schemas.openxmlformats.org/officeDocument/2006/relationships/hyperlink" Target="https://www.digikey.com/en/products/detail/tdk-corporation/MMZ0603S601CT000/765038?s=N4IgTCBcDaILJwFoAYBsyDMBldBGAwgCrIkgC6AvkA" TargetMode="External"/><Relationship Id="rId12" Type="http://schemas.openxmlformats.org/officeDocument/2006/relationships/hyperlink" Target="https://www.digikey.com/en/products/detail/yageo/RT0603DRD07200RL/1035476?s=N4IgTCBcDaIEoBUAMA2JBmAInTSDsYSScAMiALoC%2BQA" TargetMode="External"/><Relationship Id="rId17" Type="http://schemas.openxmlformats.org/officeDocument/2006/relationships/hyperlink" Target="https://www.digikey.com/en/products/detail/w%C3%BCrth-elektronik/61300211121/4846823?s=N4IgTCBcDaIGwEYDMAGFYGYyAugXyA" TargetMode="External"/><Relationship Id="rId2" Type="http://schemas.openxmlformats.org/officeDocument/2006/relationships/hyperlink" Target="https://www.digikey.com/en/products/detail/yageo/CC0603KRX7R9BB471/302812?s=N4IgTCBcDaIMJwAwDZEGYDSAlAGgdiwE4AhYgFjwEYQBdAXyA" TargetMode="External"/><Relationship Id="rId16" Type="http://schemas.openxmlformats.org/officeDocument/2006/relationships/hyperlink" Target="https://www.digikey.com/en/products/detail/lite-on-inc/LTV-247/4307982?s=N4IgTCBcDaIDIBUBqBaMAWA7CAugXyA" TargetMode="External"/><Relationship Id="rId1" Type="http://schemas.openxmlformats.org/officeDocument/2006/relationships/hyperlink" Target="https://www.digikey.com/en/products/detail/avx-corporation/TAJE107M025RNJ/2048322" TargetMode="External"/><Relationship Id="rId6" Type="http://schemas.openxmlformats.org/officeDocument/2006/relationships/hyperlink" Target="https://www.digikey.com/en/products/detail/tdk-corporation/SLF12575T-221M1R3-PF/761677?s=N4IgTCBcDaIMoBkBiBGMBWA7OgKgWjDBQFkUAlAZjwAUkQBdAXyA" TargetMode="External"/><Relationship Id="rId11" Type="http://schemas.openxmlformats.org/officeDocument/2006/relationships/hyperlink" Target="https://www.digikey.com/en/products/detail/yageo/RC0603FR-073K3L/727126?s=N4IgTCBcDaIEoGEAMA2JBmAYnAtEg7OgNLoAyIAugL5A" TargetMode="External"/><Relationship Id="rId5" Type="http://schemas.openxmlformats.org/officeDocument/2006/relationships/hyperlink" Target="https://www.digikey.com/en/products/detail/comchip-technology/CDBA240-G/1558939" TargetMode="External"/><Relationship Id="rId15" Type="http://schemas.openxmlformats.org/officeDocument/2006/relationships/hyperlink" Target="https://www.digikey.com/en/products/detail/microchip-technology/ATTINY1616-MNR/7354618?s=N4IgTCBcDaIIIBUEEkByBNAjANhwWgFlUAlEAXQF8g" TargetMode="External"/><Relationship Id="rId10" Type="http://schemas.openxmlformats.org/officeDocument/2006/relationships/hyperlink" Target="https://www.digikey.com/en/products/detail/yageo/RC0201FR-0710KL/1948870?s=N4IgTCBcDaIEoGEAMYkEYBicC0SDsaSA0gDIgC6AvkA" TargetMode="External"/><Relationship Id="rId4" Type="http://schemas.openxmlformats.org/officeDocument/2006/relationships/hyperlink" Target="https://www.digikey.com/en/products/detail/yageo/CC0603KRX5R8BB105/2833610?s=N4IgTCBcDaIMJwAwDZEGYDSAlAGgViwA4AhYgRkTxAF0BfIA" TargetMode="External"/><Relationship Id="rId9" Type="http://schemas.openxmlformats.org/officeDocument/2006/relationships/hyperlink" Target="https://www.digikey.com/en/products/detail/yageo/RC0603FR-074K7L/727212?s=N4IgTCBcDaIEoGEAMA2JBmAYnAtEg7ACwDS%2BAMiALoC%2BQA" TargetMode="External"/><Relationship Id="rId14" Type="http://schemas.openxmlformats.org/officeDocument/2006/relationships/hyperlink" Target="https://www.digikey.com/en/products/detail/texas-instruments/MC34063ADR/717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H1" zoomScale="86" zoomScaleNormal="85" workbookViewId="0">
      <selection activeCell="F10" sqref="F10"/>
    </sheetView>
  </sheetViews>
  <sheetFormatPr defaultRowHeight="15" x14ac:dyDescent="0.25"/>
  <cols>
    <col min="1" max="1" width="6.140625" style="7" bestFit="1" customWidth="1"/>
    <col min="2" max="2" width="14.42578125" customWidth="1"/>
    <col min="3" max="3" width="41.28515625" customWidth="1"/>
    <col min="4" max="4" width="28.5703125" customWidth="1"/>
    <col min="5" max="5" width="18.5703125" bestFit="1" customWidth="1"/>
    <col min="6" max="6" width="25.28515625" bestFit="1" customWidth="1"/>
    <col min="7" max="7" width="25.140625" customWidth="1"/>
    <col min="8" max="8" width="18.7109375" bestFit="1" customWidth="1"/>
    <col min="9" max="9" width="12.42578125" customWidth="1"/>
    <col min="10" max="10" width="19.42578125" bestFit="1" customWidth="1"/>
    <col min="11" max="11" width="19.42578125" customWidth="1"/>
    <col min="12" max="12" width="28" bestFit="1" customWidth="1"/>
    <col min="13" max="13" width="18.5703125" customWidth="1"/>
    <col min="14" max="14" width="11.5703125" bestFit="1" customWidth="1"/>
    <col min="15" max="15" width="12.140625" bestFit="1" customWidth="1"/>
    <col min="16" max="16" width="48.28515625" bestFit="1" customWidth="1"/>
  </cols>
  <sheetData>
    <row r="1" spans="1:18" ht="16.5" thickBot="1" x14ac:dyDescent="0.3">
      <c r="A1" s="33" t="s">
        <v>139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</row>
    <row r="2" spans="1:18" ht="15.75" thickBot="1" x14ac:dyDescent="0.3">
      <c r="A2" s="1" t="s">
        <v>10</v>
      </c>
      <c r="B2" s="1" t="s">
        <v>11</v>
      </c>
      <c r="C2" s="1" t="s">
        <v>0</v>
      </c>
      <c r="D2" s="1" t="s">
        <v>1</v>
      </c>
      <c r="E2" s="1" t="s">
        <v>12</v>
      </c>
      <c r="F2" s="1" t="s">
        <v>3</v>
      </c>
      <c r="G2" s="1" t="s">
        <v>2</v>
      </c>
      <c r="H2" s="1" t="s">
        <v>13</v>
      </c>
      <c r="I2" s="1" t="s">
        <v>14</v>
      </c>
      <c r="J2" s="1" t="s">
        <v>15</v>
      </c>
      <c r="K2" s="1" t="s">
        <v>132</v>
      </c>
      <c r="L2" s="1" t="s">
        <v>133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8" ht="15.75" thickBot="1" x14ac:dyDescent="0.3">
      <c r="A3" s="10">
        <v>1</v>
      </c>
      <c r="B3" s="36" t="s">
        <v>20</v>
      </c>
      <c r="C3" s="24" t="s">
        <v>43</v>
      </c>
      <c r="D3" s="23" t="s">
        <v>65</v>
      </c>
      <c r="E3" s="23" t="s">
        <v>81</v>
      </c>
      <c r="F3" s="23" t="s">
        <v>82</v>
      </c>
      <c r="G3" s="23" t="s">
        <v>113</v>
      </c>
      <c r="H3" s="8" t="s">
        <v>27</v>
      </c>
      <c r="I3" s="23" t="s">
        <v>123</v>
      </c>
      <c r="J3" s="21">
        <v>1</v>
      </c>
      <c r="K3" s="21">
        <f>J3*5</f>
        <v>5</v>
      </c>
      <c r="L3" s="14">
        <f>K3*1.1*1</f>
        <v>5.5</v>
      </c>
      <c r="M3" s="11" t="s">
        <v>42</v>
      </c>
      <c r="N3" s="5">
        <v>2.96</v>
      </c>
      <c r="O3" s="5">
        <f>N3*L3</f>
        <v>16.28</v>
      </c>
      <c r="P3" s="3"/>
      <c r="Q3" s="2"/>
      <c r="R3" s="2"/>
    </row>
    <row r="4" spans="1:18" ht="60.75" thickBot="1" x14ac:dyDescent="0.3">
      <c r="A4" s="10">
        <v>2</v>
      </c>
      <c r="B4" s="36"/>
      <c r="C4" s="24" t="s">
        <v>44</v>
      </c>
      <c r="D4" s="23" t="s">
        <v>66</v>
      </c>
      <c r="E4" s="8" t="s">
        <v>27</v>
      </c>
      <c r="F4" s="23" t="s">
        <v>83</v>
      </c>
      <c r="G4" s="23" t="s">
        <v>114</v>
      </c>
      <c r="H4" s="8" t="s">
        <v>27</v>
      </c>
      <c r="I4" s="23" t="s">
        <v>29</v>
      </c>
      <c r="J4" s="21">
        <v>1</v>
      </c>
      <c r="K4" s="21">
        <f t="shared" ref="K4:K25" si="0">J4*5</f>
        <v>5</v>
      </c>
      <c r="L4" s="14">
        <f t="shared" ref="L4:L25" si="1">K4*1.1*1</f>
        <v>5.5</v>
      </c>
      <c r="M4" s="26" t="s">
        <v>42</v>
      </c>
      <c r="N4" s="5">
        <v>1.2</v>
      </c>
      <c r="O4" s="5">
        <f t="shared" ref="O4:O25" si="2">N4*L4</f>
        <v>6.6</v>
      </c>
      <c r="P4" s="3"/>
      <c r="Q4" s="2"/>
      <c r="R4" s="2"/>
    </row>
    <row r="5" spans="1:18" ht="15.75" thickBot="1" x14ac:dyDescent="0.3">
      <c r="A5" s="10">
        <v>3</v>
      </c>
      <c r="B5" s="36"/>
      <c r="C5" s="24" t="s">
        <v>45</v>
      </c>
      <c r="D5" s="23" t="s">
        <v>67</v>
      </c>
      <c r="E5" s="23" t="s">
        <v>84</v>
      </c>
      <c r="F5" s="23" t="s">
        <v>85</v>
      </c>
      <c r="G5" s="23" t="s">
        <v>9</v>
      </c>
      <c r="H5" s="8" t="s">
        <v>27</v>
      </c>
      <c r="I5" s="23" t="s">
        <v>124</v>
      </c>
      <c r="J5" s="21">
        <v>1</v>
      </c>
      <c r="K5" s="21">
        <f t="shared" si="0"/>
        <v>5</v>
      </c>
      <c r="L5" s="14">
        <f t="shared" si="1"/>
        <v>5.5</v>
      </c>
      <c r="M5" s="11" t="s">
        <v>42</v>
      </c>
      <c r="N5" s="5">
        <v>0.1</v>
      </c>
      <c r="O5" s="5">
        <f t="shared" si="2"/>
        <v>0.55000000000000004</v>
      </c>
      <c r="P5" s="3"/>
      <c r="Q5" s="2"/>
      <c r="R5" s="2"/>
    </row>
    <row r="6" spans="1:18" ht="15.75" thickBot="1" x14ac:dyDescent="0.3">
      <c r="A6" s="10">
        <v>4</v>
      </c>
      <c r="B6" s="36"/>
      <c r="C6" s="24" t="s">
        <v>46</v>
      </c>
      <c r="D6" s="23" t="s">
        <v>68</v>
      </c>
      <c r="E6" s="23" t="s">
        <v>84</v>
      </c>
      <c r="F6" s="23" t="s">
        <v>86</v>
      </c>
      <c r="G6" s="23" t="s">
        <v>9</v>
      </c>
      <c r="H6" s="8" t="s">
        <v>27</v>
      </c>
      <c r="I6" s="23" t="s">
        <v>4</v>
      </c>
      <c r="J6" s="21">
        <v>2</v>
      </c>
      <c r="K6" s="21">
        <f t="shared" si="0"/>
        <v>10</v>
      </c>
      <c r="L6" s="14">
        <f t="shared" si="1"/>
        <v>11</v>
      </c>
      <c r="M6" s="11" t="s">
        <v>42</v>
      </c>
      <c r="N6" s="5">
        <v>4.5999999999999999E-2</v>
      </c>
      <c r="O6" s="5">
        <f t="shared" si="2"/>
        <v>0.50600000000000001</v>
      </c>
      <c r="P6" s="3"/>
      <c r="Q6" s="2"/>
      <c r="R6" s="2"/>
    </row>
    <row r="7" spans="1:18" ht="15.75" thickBot="1" x14ac:dyDescent="0.3">
      <c r="A7" s="10">
        <v>5</v>
      </c>
      <c r="B7" s="36"/>
      <c r="C7" s="24" t="s">
        <v>47</v>
      </c>
      <c r="D7" s="23" t="s">
        <v>69</v>
      </c>
      <c r="E7" s="23" t="s">
        <v>84</v>
      </c>
      <c r="F7" s="23" t="s">
        <v>87</v>
      </c>
      <c r="G7" s="23" t="s">
        <v>9</v>
      </c>
      <c r="H7" s="8" t="s">
        <v>27</v>
      </c>
      <c r="I7" s="23" t="s">
        <v>28</v>
      </c>
      <c r="J7" s="21">
        <v>1</v>
      </c>
      <c r="K7" s="21">
        <f t="shared" si="0"/>
        <v>5</v>
      </c>
      <c r="L7" s="14">
        <f t="shared" si="1"/>
        <v>5.5</v>
      </c>
      <c r="M7" s="11" t="s">
        <v>42</v>
      </c>
      <c r="N7" s="5">
        <v>0.11</v>
      </c>
      <c r="O7" s="5">
        <f t="shared" si="2"/>
        <v>0.60499999999999998</v>
      </c>
      <c r="P7" s="3"/>
      <c r="Q7" s="2"/>
      <c r="R7" s="2"/>
    </row>
    <row r="8" spans="1:18" ht="30.75" thickBot="1" x14ac:dyDescent="0.3">
      <c r="A8" s="10">
        <v>6</v>
      </c>
      <c r="B8" s="25" t="s">
        <v>21</v>
      </c>
      <c r="C8" s="24" t="s">
        <v>48</v>
      </c>
      <c r="D8" s="23" t="s">
        <v>70</v>
      </c>
      <c r="E8" s="23" t="s">
        <v>30</v>
      </c>
      <c r="F8" s="23" t="s">
        <v>88</v>
      </c>
      <c r="G8" s="23" t="s">
        <v>115</v>
      </c>
      <c r="H8" s="27" t="s">
        <v>136</v>
      </c>
      <c r="I8" s="8" t="s">
        <v>27</v>
      </c>
      <c r="J8" s="21">
        <v>1</v>
      </c>
      <c r="K8" s="21">
        <f t="shared" si="0"/>
        <v>5</v>
      </c>
      <c r="L8" s="14">
        <f t="shared" si="1"/>
        <v>5.5</v>
      </c>
      <c r="M8" s="11" t="s">
        <v>42</v>
      </c>
      <c r="N8" s="5">
        <v>0.47</v>
      </c>
      <c r="O8" s="5">
        <f t="shared" si="2"/>
        <v>2.585</v>
      </c>
      <c r="P8" s="3"/>
      <c r="Q8" s="2"/>
      <c r="R8" s="2"/>
    </row>
    <row r="9" spans="1:18" ht="15.75" thickBot="1" x14ac:dyDescent="0.3">
      <c r="A9" s="10">
        <v>7</v>
      </c>
      <c r="B9" s="36" t="s">
        <v>24</v>
      </c>
      <c r="C9" s="24" t="s">
        <v>49</v>
      </c>
      <c r="D9" s="23" t="s">
        <v>7</v>
      </c>
      <c r="E9" s="23" t="s">
        <v>89</v>
      </c>
      <c r="F9" s="23" t="s">
        <v>90</v>
      </c>
      <c r="G9" s="23" t="s">
        <v>116</v>
      </c>
      <c r="H9" s="8" t="s">
        <v>27</v>
      </c>
      <c r="I9" s="8" t="s">
        <v>27</v>
      </c>
      <c r="J9" s="21">
        <v>1</v>
      </c>
      <c r="K9" s="21">
        <f t="shared" si="0"/>
        <v>5</v>
      </c>
      <c r="L9" s="14">
        <f t="shared" si="1"/>
        <v>5.5</v>
      </c>
      <c r="M9" s="26" t="s">
        <v>137</v>
      </c>
      <c r="N9" s="5">
        <v>0.6</v>
      </c>
      <c r="O9" s="5">
        <f t="shared" si="2"/>
        <v>3.3</v>
      </c>
      <c r="P9" s="3"/>
      <c r="Q9" s="2"/>
      <c r="R9" s="2"/>
    </row>
    <row r="10" spans="1:18" ht="15.75" thickBot="1" x14ac:dyDescent="0.3">
      <c r="A10" s="10">
        <v>8</v>
      </c>
      <c r="B10" s="36"/>
      <c r="C10" s="24" t="s">
        <v>41</v>
      </c>
      <c r="D10" s="23" t="s">
        <v>71</v>
      </c>
      <c r="E10" s="23" t="s">
        <v>94</v>
      </c>
      <c r="F10" s="23">
        <v>61300211121</v>
      </c>
      <c r="G10" s="23" t="s">
        <v>8</v>
      </c>
      <c r="H10" s="8" t="s">
        <v>27</v>
      </c>
      <c r="I10" s="8" t="s">
        <v>27</v>
      </c>
      <c r="J10" s="21">
        <v>10</v>
      </c>
      <c r="K10" s="21">
        <f t="shared" si="0"/>
        <v>50</v>
      </c>
      <c r="L10" s="14">
        <f t="shared" si="1"/>
        <v>55.000000000000007</v>
      </c>
      <c r="M10" s="11" t="s">
        <v>42</v>
      </c>
      <c r="N10" s="6">
        <v>7.6999999999999999E-2</v>
      </c>
      <c r="O10" s="5">
        <f>N10*L10</f>
        <v>4.2350000000000003</v>
      </c>
      <c r="P10" s="4"/>
      <c r="Q10" s="2"/>
      <c r="R10" s="2"/>
    </row>
    <row r="11" spans="1:18" ht="45.75" thickBot="1" x14ac:dyDescent="0.3">
      <c r="A11" s="10">
        <v>9</v>
      </c>
      <c r="B11" s="36" t="s">
        <v>34</v>
      </c>
      <c r="C11" s="24" t="s">
        <v>50</v>
      </c>
      <c r="D11" s="23" t="s">
        <v>32</v>
      </c>
      <c r="E11" s="8" t="s">
        <v>27</v>
      </c>
      <c r="F11" s="23" t="s">
        <v>91</v>
      </c>
      <c r="G11" s="23" t="s">
        <v>5</v>
      </c>
      <c r="H11" s="8" t="s">
        <v>27</v>
      </c>
      <c r="I11" s="23" t="s">
        <v>125</v>
      </c>
      <c r="J11" s="21">
        <v>1</v>
      </c>
      <c r="K11" s="21">
        <f t="shared" si="0"/>
        <v>5</v>
      </c>
      <c r="L11" s="14">
        <f t="shared" si="1"/>
        <v>5.5</v>
      </c>
      <c r="M11" s="11" t="s">
        <v>42</v>
      </c>
      <c r="N11" s="5">
        <v>1.97</v>
      </c>
      <c r="O11" s="5">
        <f t="shared" si="2"/>
        <v>10.834999999999999</v>
      </c>
      <c r="P11" s="3"/>
      <c r="Q11" s="2"/>
      <c r="R11" s="2"/>
    </row>
    <row r="12" spans="1:18" ht="15.75" thickBot="1" x14ac:dyDescent="0.3">
      <c r="A12" s="10">
        <v>10</v>
      </c>
      <c r="B12" s="36"/>
      <c r="C12" s="24" t="s">
        <v>51</v>
      </c>
      <c r="D12" s="23" t="s">
        <v>33</v>
      </c>
      <c r="E12" s="23" t="s">
        <v>92</v>
      </c>
      <c r="F12" s="23" t="s">
        <v>93</v>
      </c>
      <c r="G12" s="23" t="s">
        <v>5</v>
      </c>
      <c r="H12" s="8" t="s">
        <v>27</v>
      </c>
      <c r="I12" s="8" t="s">
        <v>27</v>
      </c>
      <c r="J12" s="21">
        <v>1</v>
      </c>
      <c r="K12" s="21">
        <f t="shared" si="0"/>
        <v>5</v>
      </c>
      <c r="L12" s="14">
        <f t="shared" si="1"/>
        <v>5.5</v>
      </c>
      <c r="M12" s="11" t="s">
        <v>42</v>
      </c>
      <c r="N12" s="5">
        <v>0.13</v>
      </c>
      <c r="O12" s="5">
        <f t="shared" si="2"/>
        <v>0.71500000000000008</v>
      </c>
      <c r="P12" s="3"/>
      <c r="Q12" s="2"/>
      <c r="R12" s="2"/>
    </row>
    <row r="13" spans="1:18" ht="15.75" thickBot="1" x14ac:dyDescent="0.3">
      <c r="A13" s="10">
        <v>11</v>
      </c>
      <c r="B13" s="25" t="s">
        <v>134</v>
      </c>
      <c r="C13" s="24" t="s">
        <v>52</v>
      </c>
      <c r="D13" s="23" t="s">
        <v>72</v>
      </c>
      <c r="E13" s="23" t="s">
        <v>95</v>
      </c>
      <c r="F13" s="23" t="s">
        <v>96</v>
      </c>
      <c r="G13" s="23" t="s">
        <v>6</v>
      </c>
      <c r="H13" s="8" t="s">
        <v>27</v>
      </c>
      <c r="I13" s="8" t="s">
        <v>27</v>
      </c>
      <c r="J13" s="21">
        <v>4</v>
      </c>
      <c r="K13" s="21">
        <f t="shared" si="0"/>
        <v>20</v>
      </c>
      <c r="L13" s="14">
        <f t="shared" si="1"/>
        <v>22</v>
      </c>
      <c r="M13" s="11" t="s">
        <v>42</v>
      </c>
      <c r="N13" s="12">
        <v>0.61</v>
      </c>
      <c r="O13" s="5">
        <f t="shared" si="2"/>
        <v>13.42</v>
      </c>
      <c r="P13" s="15"/>
      <c r="Q13" s="2"/>
      <c r="R13" s="2"/>
    </row>
    <row r="14" spans="1:18" ht="30.75" thickBot="1" x14ac:dyDescent="0.3">
      <c r="A14" s="10">
        <v>12</v>
      </c>
      <c r="B14" s="36" t="s">
        <v>22</v>
      </c>
      <c r="C14" s="24" t="s">
        <v>53</v>
      </c>
      <c r="D14" s="23" t="s">
        <v>73</v>
      </c>
      <c r="E14" s="23" t="s">
        <v>97</v>
      </c>
      <c r="F14" s="23" t="s">
        <v>98</v>
      </c>
      <c r="G14" s="23" t="s">
        <v>117</v>
      </c>
      <c r="H14" s="8" t="s">
        <v>27</v>
      </c>
      <c r="I14" s="23" t="s">
        <v>126</v>
      </c>
      <c r="J14" s="21">
        <v>1</v>
      </c>
      <c r="K14" s="21">
        <f t="shared" si="0"/>
        <v>5</v>
      </c>
      <c r="L14" s="14">
        <f t="shared" si="1"/>
        <v>5.5</v>
      </c>
      <c r="M14" s="26" t="s">
        <v>137</v>
      </c>
      <c r="N14" s="5">
        <v>0.1</v>
      </c>
      <c r="O14" s="5">
        <f t="shared" si="2"/>
        <v>0.55000000000000004</v>
      </c>
      <c r="P14" s="3"/>
      <c r="Q14" s="2"/>
      <c r="R14" s="2"/>
    </row>
    <row r="15" spans="1:18" ht="15.75" thickBot="1" x14ac:dyDescent="0.3">
      <c r="A15" s="10">
        <v>13</v>
      </c>
      <c r="B15" s="36"/>
      <c r="C15" s="24" t="s">
        <v>54</v>
      </c>
      <c r="D15" s="23" t="s">
        <v>74</v>
      </c>
      <c r="E15" s="23" t="s">
        <v>97</v>
      </c>
      <c r="F15" s="23" t="s">
        <v>99</v>
      </c>
      <c r="G15" s="23" t="s">
        <v>9</v>
      </c>
      <c r="H15" s="8" t="s">
        <v>27</v>
      </c>
      <c r="I15" s="23" t="s">
        <v>127</v>
      </c>
      <c r="J15" s="21">
        <v>1</v>
      </c>
      <c r="K15" s="21">
        <f t="shared" si="0"/>
        <v>5</v>
      </c>
      <c r="L15" s="14">
        <f t="shared" si="1"/>
        <v>5.5</v>
      </c>
      <c r="M15" s="11" t="s">
        <v>42</v>
      </c>
      <c r="N15" s="6">
        <v>0.1</v>
      </c>
      <c r="O15" s="5">
        <f t="shared" si="2"/>
        <v>0.55000000000000004</v>
      </c>
      <c r="P15" s="4"/>
      <c r="Q15" s="2"/>
      <c r="R15" s="2"/>
    </row>
    <row r="16" spans="1:18" ht="15.75" thickBot="1" x14ac:dyDescent="0.3">
      <c r="A16" s="10">
        <v>14</v>
      </c>
      <c r="B16" s="36"/>
      <c r="C16" s="24" t="s">
        <v>55</v>
      </c>
      <c r="D16" s="23" t="s">
        <v>75</v>
      </c>
      <c r="E16" s="23" t="s">
        <v>100</v>
      </c>
      <c r="F16" s="23" t="s">
        <v>101</v>
      </c>
      <c r="G16" s="23" t="s">
        <v>9</v>
      </c>
      <c r="H16" s="8" t="s">
        <v>27</v>
      </c>
      <c r="I16" s="23" t="s">
        <v>31</v>
      </c>
      <c r="J16" s="21">
        <v>4</v>
      </c>
      <c r="K16" s="21">
        <f t="shared" si="0"/>
        <v>20</v>
      </c>
      <c r="L16" s="14">
        <f t="shared" si="1"/>
        <v>22</v>
      </c>
      <c r="M16" s="11" t="s">
        <v>42</v>
      </c>
      <c r="N16" s="16">
        <v>0.1</v>
      </c>
      <c r="O16" s="5">
        <f t="shared" si="2"/>
        <v>2.2000000000000002</v>
      </c>
      <c r="P16" s="17"/>
      <c r="Q16" s="2"/>
      <c r="R16" s="2"/>
    </row>
    <row r="17" spans="1:18" ht="15.75" thickBot="1" x14ac:dyDescent="0.3">
      <c r="A17" s="10">
        <v>15</v>
      </c>
      <c r="B17" s="36"/>
      <c r="C17" s="24" t="s">
        <v>56</v>
      </c>
      <c r="D17" s="23" t="s">
        <v>76</v>
      </c>
      <c r="E17" s="23" t="s">
        <v>97</v>
      </c>
      <c r="F17" s="23" t="s">
        <v>102</v>
      </c>
      <c r="G17" s="23" t="s">
        <v>118</v>
      </c>
      <c r="H17" s="8" t="s">
        <v>27</v>
      </c>
      <c r="I17" s="23" t="s">
        <v>128</v>
      </c>
      <c r="J17" s="21">
        <v>5</v>
      </c>
      <c r="K17" s="21">
        <f t="shared" si="0"/>
        <v>25</v>
      </c>
      <c r="L17" s="14">
        <f t="shared" si="1"/>
        <v>27.500000000000004</v>
      </c>
      <c r="M17" s="11" t="s">
        <v>42</v>
      </c>
      <c r="N17" s="9">
        <v>0.1</v>
      </c>
      <c r="O17" s="5">
        <f t="shared" si="2"/>
        <v>2.7500000000000004</v>
      </c>
      <c r="P17" s="18"/>
      <c r="Q17" s="2"/>
      <c r="R17" s="2"/>
    </row>
    <row r="18" spans="1:18" ht="15.75" thickBot="1" x14ac:dyDescent="0.3">
      <c r="A18" s="10">
        <v>16</v>
      </c>
      <c r="B18" s="36"/>
      <c r="C18" s="24" t="s">
        <v>57</v>
      </c>
      <c r="D18" s="23" t="s">
        <v>77</v>
      </c>
      <c r="E18" s="23" t="s">
        <v>97</v>
      </c>
      <c r="F18" s="23" t="s">
        <v>103</v>
      </c>
      <c r="G18" s="23" t="s">
        <v>9</v>
      </c>
      <c r="H18" s="8" t="s">
        <v>27</v>
      </c>
      <c r="I18" s="23" t="s">
        <v>129</v>
      </c>
      <c r="J18" s="21">
        <v>5</v>
      </c>
      <c r="K18" s="21">
        <f t="shared" si="0"/>
        <v>25</v>
      </c>
      <c r="L18" s="14">
        <f t="shared" si="1"/>
        <v>27.500000000000004</v>
      </c>
      <c r="M18" s="11" t="s">
        <v>42</v>
      </c>
      <c r="N18" s="12">
        <v>0.18</v>
      </c>
      <c r="O18" s="5">
        <f t="shared" si="2"/>
        <v>4.95</v>
      </c>
      <c r="P18" s="15"/>
      <c r="Q18" s="2"/>
      <c r="R18" s="2"/>
    </row>
    <row r="19" spans="1:18" ht="15.75" thickBot="1" x14ac:dyDescent="0.3">
      <c r="A19" s="10">
        <v>17</v>
      </c>
      <c r="B19" s="36"/>
      <c r="C19" s="24" t="s">
        <v>58</v>
      </c>
      <c r="D19" s="23" t="s">
        <v>78</v>
      </c>
      <c r="E19" s="23" t="s">
        <v>97</v>
      </c>
      <c r="F19" s="23" t="s">
        <v>104</v>
      </c>
      <c r="G19" s="23" t="s">
        <v>9</v>
      </c>
      <c r="H19" s="8" t="s">
        <v>27</v>
      </c>
      <c r="I19" s="23" t="s">
        <v>130</v>
      </c>
      <c r="J19" s="21">
        <v>1</v>
      </c>
      <c r="K19" s="21">
        <f t="shared" si="0"/>
        <v>5</v>
      </c>
      <c r="L19" s="14">
        <f t="shared" si="1"/>
        <v>5.5</v>
      </c>
      <c r="M19" s="11" t="s">
        <v>42</v>
      </c>
      <c r="N19" s="6">
        <v>0.1</v>
      </c>
      <c r="O19" s="5">
        <f t="shared" si="2"/>
        <v>0.55000000000000004</v>
      </c>
      <c r="P19" s="20"/>
      <c r="Q19" s="2"/>
      <c r="R19" s="2"/>
    </row>
    <row r="20" spans="1:18" ht="45.75" thickBot="1" x14ac:dyDescent="0.3">
      <c r="A20" s="10">
        <v>18</v>
      </c>
      <c r="B20" s="36"/>
      <c r="C20" s="24" t="s">
        <v>59</v>
      </c>
      <c r="D20" s="23" t="s">
        <v>79</v>
      </c>
      <c r="E20" s="23" t="s">
        <v>97</v>
      </c>
      <c r="F20" s="23" t="s">
        <v>105</v>
      </c>
      <c r="G20" s="23" t="s">
        <v>119</v>
      </c>
      <c r="H20" s="8" t="s">
        <v>27</v>
      </c>
      <c r="I20" s="23" t="s">
        <v>131</v>
      </c>
      <c r="J20" s="21">
        <v>1</v>
      </c>
      <c r="K20" s="21">
        <f t="shared" si="0"/>
        <v>5</v>
      </c>
      <c r="L20" s="14">
        <f t="shared" si="1"/>
        <v>5.5</v>
      </c>
      <c r="M20" s="26" t="s">
        <v>138</v>
      </c>
      <c r="N20" s="12">
        <v>0.1</v>
      </c>
      <c r="O20" s="5">
        <f t="shared" si="2"/>
        <v>0.55000000000000004</v>
      </c>
      <c r="P20" s="19"/>
      <c r="Q20" s="2"/>
      <c r="R20" s="2"/>
    </row>
    <row r="21" spans="1:18" ht="30.75" thickBot="1" x14ac:dyDescent="0.3">
      <c r="A21" s="10">
        <v>19</v>
      </c>
      <c r="B21" s="25" t="s">
        <v>135</v>
      </c>
      <c r="C21" s="24" t="s">
        <v>60</v>
      </c>
      <c r="D21" s="23" t="s">
        <v>80</v>
      </c>
      <c r="E21" s="8" t="s">
        <v>27</v>
      </c>
      <c r="F21" s="23" t="s">
        <v>106</v>
      </c>
      <c r="G21" s="23" t="s">
        <v>120</v>
      </c>
      <c r="H21" s="8" t="s">
        <v>27</v>
      </c>
      <c r="I21" s="8" t="s">
        <v>27</v>
      </c>
      <c r="J21" s="21">
        <v>1</v>
      </c>
      <c r="K21" s="21">
        <f t="shared" si="0"/>
        <v>5</v>
      </c>
      <c r="L21" s="14">
        <f t="shared" si="1"/>
        <v>5.5</v>
      </c>
      <c r="M21" s="26" t="s">
        <v>138</v>
      </c>
      <c r="N21" s="5">
        <v>0.61</v>
      </c>
      <c r="O21" s="5">
        <f t="shared" si="2"/>
        <v>3.355</v>
      </c>
      <c r="P21" s="3"/>
      <c r="Q21" s="2"/>
      <c r="R21" s="2"/>
    </row>
    <row r="22" spans="1:18" ht="45.75" thickBot="1" x14ac:dyDescent="0.3">
      <c r="A22" s="10">
        <v>20</v>
      </c>
      <c r="B22" s="36" t="s">
        <v>23</v>
      </c>
      <c r="C22" s="24" t="s">
        <v>61</v>
      </c>
      <c r="D22" s="23" t="s">
        <v>35</v>
      </c>
      <c r="E22" s="23" t="s">
        <v>107</v>
      </c>
      <c r="F22" s="23" t="s">
        <v>108</v>
      </c>
      <c r="G22" s="23" t="s">
        <v>36</v>
      </c>
      <c r="H22" s="8" t="s">
        <v>27</v>
      </c>
      <c r="I22" s="8" t="s">
        <v>27</v>
      </c>
      <c r="J22" s="21">
        <v>1</v>
      </c>
      <c r="K22" s="21">
        <f t="shared" si="0"/>
        <v>5</v>
      </c>
      <c r="L22" s="14">
        <f t="shared" si="1"/>
        <v>5.5</v>
      </c>
      <c r="M22" s="11" t="s">
        <v>42</v>
      </c>
      <c r="N22" s="5">
        <v>0.78</v>
      </c>
      <c r="O22" s="5">
        <f t="shared" si="2"/>
        <v>4.29</v>
      </c>
      <c r="P22" s="3"/>
      <c r="Q22" s="2"/>
      <c r="R22" s="2"/>
    </row>
    <row r="23" spans="1:18" ht="15.75" thickBot="1" x14ac:dyDescent="0.3">
      <c r="A23" s="10">
        <v>21</v>
      </c>
      <c r="B23" s="36"/>
      <c r="C23" s="24" t="s">
        <v>62</v>
      </c>
      <c r="D23" s="23" t="s">
        <v>37</v>
      </c>
      <c r="E23" s="23" t="s">
        <v>109</v>
      </c>
      <c r="F23" s="23" t="s">
        <v>110</v>
      </c>
      <c r="G23" s="23" t="s">
        <v>38</v>
      </c>
      <c r="H23" s="8" t="s">
        <v>27</v>
      </c>
      <c r="I23" s="8" t="s">
        <v>27</v>
      </c>
      <c r="J23" s="21">
        <v>1</v>
      </c>
      <c r="K23" s="21">
        <f t="shared" si="0"/>
        <v>5</v>
      </c>
      <c r="L23" s="14">
        <f t="shared" si="1"/>
        <v>5.5</v>
      </c>
      <c r="M23" s="11" t="s">
        <v>42</v>
      </c>
      <c r="N23" s="5">
        <v>0.95</v>
      </c>
      <c r="O23" s="5">
        <f t="shared" si="2"/>
        <v>5.2249999999999996</v>
      </c>
      <c r="P23" s="3"/>
      <c r="Q23" s="2"/>
      <c r="R23" s="2"/>
    </row>
    <row r="24" spans="1:18" ht="15.75" thickBot="1" x14ac:dyDescent="0.3">
      <c r="A24" s="10">
        <v>22</v>
      </c>
      <c r="B24" s="36"/>
      <c r="C24" s="24" t="s">
        <v>63</v>
      </c>
      <c r="D24" s="23" t="s">
        <v>39</v>
      </c>
      <c r="E24" s="8" t="s">
        <v>27</v>
      </c>
      <c r="F24" s="23" t="s">
        <v>111</v>
      </c>
      <c r="G24" s="23" t="s">
        <v>121</v>
      </c>
      <c r="H24" s="8" t="s">
        <v>27</v>
      </c>
      <c r="I24" s="8" t="s">
        <v>27</v>
      </c>
      <c r="J24" s="21">
        <v>1</v>
      </c>
      <c r="K24" s="21">
        <f t="shared" si="0"/>
        <v>5</v>
      </c>
      <c r="L24" s="14">
        <f t="shared" si="1"/>
        <v>5.5</v>
      </c>
      <c r="M24" s="11" t="s">
        <v>42</v>
      </c>
      <c r="N24" s="5">
        <v>1.28</v>
      </c>
      <c r="O24" s="5">
        <f t="shared" si="2"/>
        <v>7.04</v>
      </c>
      <c r="P24" s="3"/>
      <c r="Q24" s="2"/>
      <c r="R24" s="2"/>
    </row>
    <row r="25" spans="1:18" ht="30.75" thickBot="1" x14ac:dyDescent="0.3">
      <c r="A25" s="10">
        <v>23</v>
      </c>
      <c r="B25" s="36"/>
      <c r="C25" s="24" t="s">
        <v>64</v>
      </c>
      <c r="D25" s="23" t="s">
        <v>40</v>
      </c>
      <c r="E25" s="8" t="s">
        <v>27</v>
      </c>
      <c r="F25" s="23" t="s">
        <v>112</v>
      </c>
      <c r="G25" s="23" t="s">
        <v>122</v>
      </c>
      <c r="H25" s="8" t="s">
        <v>27</v>
      </c>
      <c r="I25" s="8" t="s">
        <v>27</v>
      </c>
      <c r="J25" s="22">
        <v>1</v>
      </c>
      <c r="K25" s="22">
        <f t="shared" si="0"/>
        <v>5</v>
      </c>
      <c r="L25" s="14">
        <f t="shared" si="1"/>
        <v>5.5</v>
      </c>
      <c r="M25" s="26" t="s">
        <v>138</v>
      </c>
      <c r="N25" s="5">
        <v>0.79400000000000004</v>
      </c>
      <c r="O25" s="5">
        <f t="shared" si="2"/>
        <v>4.367</v>
      </c>
      <c r="P25" s="3"/>
      <c r="Q25" s="2"/>
      <c r="R25" s="2"/>
    </row>
    <row r="26" spans="1:18" ht="19.5" thickBot="1" x14ac:dyDescent="0.35">
      <c r="J26" s="32" t="s">
        <v>25</v>
      </c>
      <c r="K26" s="32"/>
      <c r="L26" s="32"/>
      <c r="M26" s="28"/>
      <c r="N26" s="28"/>
      <c r="O26" s="29">
        <f>SUM(O3:O25)</f>
        <v>96.008000000000024</v>
      </c>
    </row>
    <row r="27" spans="1:18" ht="21" customHeight="1" x14ac:dyDescent="0.3">
      <c r="J27" s="31" t="s">
        <v>26</v>
      </c>
      <c r="K27" s="31"/>
      <c r="L27" s="31"/>
      <c r="M27" s="13"/>
      <c r="O27" s="30">
        <f>O26/5</f>
        <v>19.201600000000006</v>
      </c>
    </row>
  </sheetData>
  <mergeCells count="8">
    <mergeCell ref="J27:L27"/>
    <mergeCell ref="J26:L26"/>
    <mergeCell ref="A1:P1"/>
    <mergeCell ref="B3:B7"/>
    <mergeCell ref="B11:B12"/>
    <mergeCell ref="B9:B10"/>
    <mergeCell ref="B14:B20"/>
    <mergeCell ref="B22:B25"/>
  </mergeCells>
  <conditionalFormatting sqref="P18:P19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P13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J10:K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K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25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3:L3 J11:K25 J4:K9 L4:L2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 J11:K25 J4:K9 L4:L25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M3" r:id="rId1"/>
    <hyperlink ref="M5" r:id="rId2"/>
    <hyperlink ref="M6" r:id="rId3"/>
    <hyperlink ref="M7" r:id="rId4"/>
    <hyperlink ref="M8" r:id="rId5"/>
    <hyperlink ref="M11" r:id="rId6"/>
    <hyperlink ref="M12" r:id="rId7"/>
    <hyperlink ref="M13" r:id="rId8"/>
    <hyperlink ref="M15" r:id="rId9"/>
    <hyperlink ref="M16" r:id="rId10"/>
    <hyperlink ref="M17" r:id="rId11"/>
    <hyperlink ref="M18" r:id="rId12"/>
    <hyperlink ref="M19" r:id="rId13"/>
    <hyperlink ref="M22" r:id="rId14"/>
    <hyperlink ref="M23" r:id="rId15"/>
    <hyperlink ref="M24" r:id="rId16"/>
    <hyperlink ref="M10" r:id="rId17"/>
  </hyperlinks>
  <pageMargins left="0.7" right="0.7" top="0.75" bottom="0.75" header="0.3" footer="0.3"/>
  <pageSetup orientation="portrait" r:id="rId1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P18:P19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P13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DANISH TRADERS</cp:lastModifiedBy>
  <dcterms:created xsi:type="dcterms:W3CDTF">2021-05-17T11:34:06Z</dcterms:created>
  <dcterms:modified xsi:type="dcterms:W3CDTF">2022-05-26T09:38:54Z</dcterms:modified>
</cp:coreProperties>
</file>