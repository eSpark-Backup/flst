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GitHub\flst\Deliverables\BOM\"/>
    </mc:Choice>
  </mc:AlternateContent>
  <xr:revisionPtr revIDLastSave="0" documentId="13_ncr:1_{530D7722-8C38-44FC-A9D1-516050F69FC2}" xr6:coauthVersionLast="47" xr6:coauthVersionMax="47" xr10:uidLastSave="{00000000-0000-0000-0000-000000000000}"/>
  <bookViews>
    <workbookView xWindow="-6435" yWindow="3135" windowWidth="11790" windowHeight="153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5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P26" i="1" l="1"/>
  <c r="P27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</calcChain>
</file>

<file path=xl/sharedStrings.xml><?xml version="1.0" encoding="utf-8"?>
<sst xmlns="http://schemas.openxmlformats.org/spreadsheetml/2006/main" count="235" uniqueCount="161">
  <si>
    <t>Description</t>
  </si>
  <si>
    <t>Designator</t>
  </si>
  <si>
    <t>Value</t>
  </si>
  <si>
    <t>Manufacturer Part Number</t>
  </si>
  <si>
    <t>100uF</t>
  </si>
  <si>
    <t>CAP TANT 100UF 20% 25V 2917</t>
  </si>
  <si>
    <t>C1</t>
  </si>
  <si>
    <t>CAP- 2917</t>
  </si>
  <si>
    <t>TAJE107M025RNJ</t>
  </si>
  <si>
    <t>470uF</t>
  </si>
  <si>
    <t>470uF ±20% 50V 12.5mm 13.5mm 1000hrs 105℃ -40℃~+105℃ SMD,12.5x13.5mm Aluminum Electrolytic Capacitors - SMD RoHS</t>
  </si>
  <si>
    <t>C2</t>
  </si>
  <si>
    <t>VT1H471MI135000CE0</t>
  </si>
  <si>
    <t>470pF</t>
  </si>
  <si>
    <t>CAP CER 470pF 10% X7R 50V 0603 SMD</t>
  </si>
  <si>
    <t>C3</t>
  </si>
  <si>
    <t>Cap0603</t>
  </si>
  <si>
    <t>CC0603KRX7R9BB471</t>
  </si>
  <si>
    <t>0.1uF</t>
  </si>
  <si>
    <t>CAP CER 0.1UF 50V Y5V 0603</t>
  </si>
  <si>
    <t>C4, C6</t>
  </si>
  <si>
    <t>CC0603ZRY5V9BB104</t>
  </si>
  <si>
    <t>1uF</t>
  </si>
  <si>
    <t>CAP CER 1UF 25V X5R 0603</t>
  </si>
  <si>
    <t>C5</t>
  </si>
  <si>
    <t>CC0603KRX5R8BB105</t>
  </si>
  <si>
    <t>SS24A</t>
  </si>
  <si>
    <t>40V 500mV@2A 2A SMA(DO-214AC) Schottky Barrier Diodes (SBD) ROHS</t>
  </si>
  <si>
    <t>D1</t>
  </si>
  <si>
    <t>PZ254V-11-05P</t>
  </si>
  <si>
    <t>Pin Header 5 1 right-angle</t>
  </si>
  <si>
    <t>J1</t>
  </si>
  <si>
    <t>220uH</t>
  </si>
  <si>
    <t>Inductor Power Shielded Wirewound 220uH 20% 1KHz Ferrite 1.3A 310mOhm DCR Blister T/R</t>
  </si>
  <si>
    <t>L1</t>
  </si>
  <si>
    <t>SLF12575T-221M1R3-PF</t>
  </si>
  <si>
    <t>MMZ0603S601CT000</t>
  </si>
  <si>
    <t>FERRITE BEAD 600 OHM 0201 1LN</t>
  </si>
  <si>
    <t>L2</t>
  </si>
  <si>
    <t>IND 0201</t>
  </si>
  <si>
    <t>61300211121</t>
  </si>
  <si>
    <t>CONN HEADER VERT 2POS 2.54MM</t>
  </si>
  <si>
    <t>P1, P2, P3, P4, P5, P6, P7, P8, P9, P10</t>
  </si>
  <si>
    <t>DMN13H750S-7</t>
  </si>
  <si>
    <t>MOSFET N-CH 130V 1A SOT23</t>
  </si>
  <si>
    <t>Q1, Q2, Q3, Q4</t>
  </si>
  <si>
    <t>SOT23-3</t>
  </si>
  <si>
    <t>0.33R</t>
  </si>
  <si>
    <t>0.33Ω 0603 Chip Resistor - Surface Mount ROHS</t>
  </si>
  <si>
    <t>R1</t>
  </si>
  <si>
    <t>RES-0603</t>
  </si>
  <si>
    <t>RTT03R330FTP</t>
  </si>
  <si>
    <t>4.7K</t>
  </si>
  <si>
    <t>RES SMD 4.7K OHM 1% 1/10W 0603</t>
  </si>
  <si>
    <t>R2</t>
  </si>
  <si>
    <t>RC0603FR-074K7L</t>
  </si>
  <si>
    <t>10K</t>
  </si>
  <si>
    <t>RES SMD 10K OHM 1% 1/20W 0201</t>
  </si>
  <si>
    <t>R3, R8, R14, R15</t>
  </si>
  <si>
    <t>Res-0201</t>
  </si>
  <si>
    <t>RC0201FR-0710KL</t>
  </si>
  <si>
    <t>3.3K</t>
  </si>
  <si>
    <t>RES SMD 3.3K OHM 1% 1/10W 0603</t>
  </si>
  <si>
    <t>R4, R5, R6, R7, R9</t>
  </si>
  <si>
    <t>RC0603FR-073K3L</t>
  </si>
  <si>
    <t>200R</t>
  </si>
  <si>
    <t>RES SMD 200 OHM 0.5% 1/10W 0603</t>
  </si>
  <si>
    <t>R10, R11, R12, R13, R16</t>
  </si>
  <si>
    <t>RT0603DRD07200RL</t>
  </si>
  <si>
    <t>2K</t>
  </si>
  <si>
    <t>RES SMD 2K OHM 1% 1/10W 0603</t>
  </si>
  <si>
    <t>RF1</t>
  </si>
  <si>
    <t>RC0603FR-072KL</t>
  </si>
  <si>
    <t>1.2K</t>
  </si>
  <si>
    <t>±1% 1/10W Thick Film Resistors 75V ±100ppm/℃ -55℃~+155℃ 1.2kΩ 0603 Chip Resistor - Surface Mount ROHS</t>
  </si>
  <si>
    <t>RF2</t>
  </si>
  <si>
    <t>0603WAF1201T5E</t>
  </si>
  <si>
    <t>TS-1185EC-C-D-B</t>
  </si>
  <si>
    <t>3mm 2mm Round Button 50mA Top3.65mm SPST 12V SMD Tactile Switches</t>
  </si>
  <si>
    <t>SW1</t>
  </si>
  <si>
    <t>MC34063ADR</t>
  </si>
  <si>
    <t>1.5-A boost, buck, inverting switching regulator, operation from 0°C to 70°C 8-SOIC 0 to 70</t>
  </si>
  <si>
    <t>U1</t>
  </si>
  <si>
    <t>SOIC-8</t>
  </si>
  <si>
    <t>ATTINY1616-MNR</t>
  </si>
  <si>
    <t>IC MCU 8BIT 16KB FLASH 20VQFN</t>
  </si>
  <si>
    <t>U2</t>
  </si>
  <si>
    <t>20-QFN</t>
  </si>
  <si>
    <t>LTV-247</t>
  </si>
  <si>
    <t>OPTOISO 3.75KV 4CH TRANS 16SO</t>
  </si>
  <si>
    <t>U3</t>
  </si>
  <si>
    <t>PS2801C-1-F3-A</t>
  </si>
  <si>
    <t>TransistorOptocouplers DC 1 2500Vrms SOP-4_P1.27 Optocouplers RoHS</t>
  </si>
  <si>
    <t>U4</t>
  </si>
  <si>
    <t>S. No.</t>
  </si>
  <si>
    <t>Footprint (Package)</t>
  </si>
  <si>
    <t>Manufacturer</t>
  </si>
  <si>
    <t>Alternate</t>
  </si>
  <si>
    <t>Remarks</t>
  </si>
  <si>
    <t>Bill of Material (BOM) for Grant</t>
  </si>
  <si>
    <t>Comment Type</t>
  </si>
  <si>
    <t>LCSC Part Number</t>
  </si>
  <si>
    <t>Unit Quantity</t>
  </si>
  <si>
    <t>Quantity(5)</t>
  </si>
  <si>
    <t>MOQ(5)</t>
  </si>
  <si>
    <t>Link</t>
  </si>
  <si>
    <t>Unit Price(5)</t>
  </si>
  <si>
    <t xml:space="preserve">Total Price </t>
  </si>
  <si>
    <t>C7230</t>
  </si>
  <si>
    <t>AVX</t>
  </si>
  <si>
    <t>LCSC</t>
  </si>
  <si>
    <t>C191227</t>
  </si>
  <si>
    <t>Changzhou Huawei Elec</t>
  </si>
  <si>
    <t>C107092</t>
  </si>
  <si>
    <t>YAGEO</t>
  </si>
  <si>
    <t>C106221</t>
  </si>
  <si>
    <t>C14664</t>
  </si>
  <si>
    <t>Yangzhou Yangjie Elec Tech</t>
  </si>
  <si>
    <t>C211773</t>
  </si>
  <si>
    <t>Diodes Incorporated</t>
  </si>
  <si>
    <t>C156273</t>
  </si>
  <si>
    <t>TDK</t>
  </si>
  <si>
    <t>C93225</t>
  </si>
  <si>
    <t>C275404</t>
  </si>
  <si>
    <t>RALEC</t>
  </si>
  <si>
    <t>C103893</t>
  </si>
  <si>
    <t>C99782</t>
  </si>
  <si>
    <t>C106225</t>
  </si>
  <si>
    <t>C108078</t>
  </si>
  <si>
    <t>C700498</t>
  </si>
  <si>
    <t>C105576</t>
  </si>
  <si>
    <t>C22765</t>
  </si>
  <si>
    <t>UNI-ROYAL(Uniroyal Elec)</t>
  </si>
  <si>
    <t>C318893</t>
  </si>
  <si>
    <t>Texas Instruments</t>
  </si>
  <si>
    <t>XKB Connectivity</t>
  </si>
  <si>
    <t>C100023</t>
  </si>
  <si>
    <t>C507118</t>
  </si>
  <si>
    <t>Microchip Tech</t>
  </si>
  <si>
    <t>Lite-On</t>
  </si>
  <si>
    <t>C115451</t>
  </si>
  <si>
    <t>C67112</t>
  </si>
  <si>
    <t>RENESAS</t>
  </si>
  <si>
    <t>XFCN</t>
  </si>
  <si>
    <t>C492404</t>
  </si>
  <si>
    <t>Wurth Electronics</t>
  </si>
  <si>
    <t>------</t>
  </si>
  <si>
    <t>Capacitor</t>
  </si>
  <si>
    <t>Diode</t>
  </si>
  <si>
    <t>Transstor</t>
  </si>
  <si>
    <t>Inductor</t>
  </si>
  <si>
    <t>Resistor</t>
  </si>
  <si>
    <t>Switch</t>
  </si>
  <si>
    <t>Connector</t>
  </si>
  <si>
    <t xml:space="preserve">Total Component Cost </t>
  </si>
  <si>
    <t>Single Board Cost</t>
  </si>
  <si>
    <t>IC</t>
  </si>
  <si>
    <t>Custom</t>
  </si>
  <si>
    <t>SOP-4</t>
  </si>
  <si>
    <t>C390678</t>
  </si>
  <si>
    <t>210-91-02GB01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</si>
</sst>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color theme="0"/>
      <name val="Calibri"/>
      <family val="2"/>
    </font>
    <font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0">
    <xf numFmtId="0" fontId="0" fillId="0" borderId="0" xfId="0"/>
    <xf numFmtId="0" fontId="6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3" borderId="0" xfId="0" applyFont="1" applyFill="1"/>
    <xf numFmtId="164" fontId="4" fillId="0" borderId="0" xfId="0" applyNumberFormat="1" applyFont="1" applyAlignment="1">
      <alignment horizontal="center" vertical="center"/>
    </xf>
    <xf numFmtId="0" fontId="10" fillId="4" borderId="6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4" fillId="3" borderId="7" xfId="0" quotePrefix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9" xfId="0" quotePrefix="1" applyFont="1" applyBorder="1" applyAlignment="1">
      <alignment horizontal="left"/>
    </xf>
    <xf numFmtId="0" fontId="4" fillId="0" borderId="10" xfId="0" quotePrefix="1" applyFont="1" applyBorder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0" borderId="16" xfId="0" quotePrefix="1" applyFont="1" applyBorder="1" applyAlignment="1">
      <alignment horizontal="left"/>
    </xf>
    <xf numFmtId="0" fontId="4" fillId="0" borderId="17" xfId="0" quotePrefix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4" fillId="3" borderId="17" xfId="0" quotePrefix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5" fontId="9" fillId="0" borderId="17" xfId="0" applyNumberFormat="1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quotePrefix="1" applyFont="1" applyBorder="1" applyAlignment="1">
      <alignment horizontal="left"/>
    </xf>
    <xf numFmtId="0" fontId="4" fillId="0" borderId="21" xfId="0" quotePrefix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 wrapText="1"/>
    </xf>
    <xf numFmtId="0" fontId="4" fillId="3" borderId="21" xfId="0" quotePrefix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65" fontId="9" fillId="0" borderId="21" xfId="0" applyNumberFormat="1" applyFont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24" xfId="0" quotePrefix="1" applyFont="1" applyBorder="1" applyAlignment="1">
      <alignment horizontal="left"/>
    </xf>
    <xf numFmtId="0" fontId="4" fillId="0" borderId="25" xfId="0" quotePrefix="1" applyFont="1" applyBorder="1" applyAlignment="1">
      <alignment horizontal="center" vertical="center"/>
    </xf>
    <xf numFmtId="0" fontId="5" fillId="3" borderId="25" xfId="1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4" fillId="3" borderId="25" xfId="0" quotePrefix="1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165" fontId="9" fillId="0" borderId="25" xfId="0" applyNumberFormat="1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0" xfId="0" quotePrefix="1" applyFont="1" applyFill="1" applyBorder="1" applyAlignment="1">
      <alignment horizontal="left"/>
    </xf>
    <xf numFmtId="0" fontId="4" fillId="0" borderId="21" xfId="0" quotePrefix="1" applyFont="1" applyFill="1" applyBorder="1" applyAlignment="1">
      <alignment horizontal="center" vertical="center"/>
    </xf>
    <xf numFmtId="0" fontId="8" fillId="0" borderId="21" xfId="0" quotePrefix="1" applyFont="1" applyFill="1" applyBorder="1" applyAlignment="1">
      <alignment horizontal="center" vertical="center"/>
    </xf>
    <xf numFmtId="0" fontId="5" fillId="0" borderId="21" xfId="1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/>
    </xf>
    <xf numFmtId="0" fontId="5" fillId="0" borderId="21" xfId="1" applyFont="1" applyFill="1" applyBorder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165" fontId="4" fillId="0" borderId="21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4" fillId="0" borderId="29" xfId="0" quotePrefix="1" applyFont="1" applyBorder="1" applyAlignment="1">
      <alignment horizontal="left"/>
    </xf>
    <xf numFmtId="0" fontId="4" fillId="0" borderId="30" xfId="0" quotePrefix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4" fillId="3" borderId="30" xfId="0" quotePrefix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65" fontId="9" fillId="0" borderId="30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32" xfId="0" quotePrefix="1" applyFont="1" applyBorder="1" applyAlignment="1">
      <alignment horizontal="left"/>
    </xf>
    <xf numFmtId="0" fontId="4" fillId="0" borderId="33" xfId="0" quotePrefix="1" applyFont="1" applyBorder="1" applyAlignment="1">
      <alignment horizontal="center" vertical="center"/>
    </xf>
    <xf numFmtId="0" fontId="5" fillId="3" borderId="33" xfId="1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4" fillId="3" borderId="33" xfId="0" quotePrefix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165" fontId="9" fillId="0" borderId="33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brand-detail/296.html" TargetMode="External"/><Relationship Id="rId18" Type="http://schemas.openxmlformats.org/officeDocument/2006/relationships/hyperlink" Target="https://lcsc.com/product-detail/Ferrite-Beads_TDK-MMZ0603S601CT000_C275404.html" TargetMode="External"/><Relationship Id="rId26" Type="http://schemas.openxmlformats.org/officeDocument/2006/relationships/hyperlink" Target="https://lcsc.com/product-detail/Chip-Resistor-Surface-Mount_YAGEO-RC0603FR-073K3L_C108078.html" TargetMode="External"/><Relationship Id="rId39" Type="http://schemas.openxmlformats.org/officeDocument/2006/relationships/hyperlink" Target="https://lcsc.com/brand-detail/68.html" TargetMode="External"/><Relationship Id="rId21" Type="http://schemas.openxmlformats.org/officeDocument/2006/relationships/hyperlink" Target="https://lcsc.com/brand-detail/396.html" TargetMode="External"/><Relationship Id="rId34" Type="http://schemas.openxmlformats.org/officeDocument/2006/relationships/hyperlink" Target="https://lcsc.com/brand-detail/100.html" TargetMode="External"/><Relationship Id="rId42" Type="http://schemas.openxmlformats.org/officeDocument/2006/relationships/hyperlink" Target="https://lcsc.com/product-detail/Optocouplers-Phototransistor-Output_RENESAS-PS2801C-1-F3-A_C67112.html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lcsc.com/brand-detail/396.html" TargetMode="External"/><Relationship Id="rId2" Type="http://schemas.openxmlformats.org/officeDocument/2006/relationships/hyperlink" Target="https://lcsc.com/product-detail/Tantalum-Capacitors_AVX-TAJE107M025RNJ_C7230.html" TargetMode="External"/><Relationship Id="rId16" Type="http://schemas.openxmlformats.org/officeDocument/2006/relationships/hyperlink" Target="https://lcsc.com/product-detail/Power-Inductors_TDK-SLF12575T-221M1R3-PF_C93225.html" TargetMode="External"/><Relationship Id="rId29" Type="http://schemas.openxmlformats.org/officeDocument/2006/relationships/hyperlink" Target="https://lcsc.com/brand-detail/396.html" TargetMode="External"/><Relationship Id="rId1" Type="http://schemas.openxmlformats.org/officeDocument/2006/relationships/hyperlink" Target="https://lcsc.com/brand-detail/219.html" TargetMode="External"/><Relationship Id="rId6" Type="http://schemas.openxmlformats.org/officeDocument/2006/relationships/hyperlink" Target="https://lcsc.com/product-detail/Multilayer-Ceramic-Capacitors-MLCC-SMD-SMT_YAGEO-CC0603KRX7R9BB471_C107092.html" TargetMode="External"/><Relationship Id="rId11" Type="http://schemas.openxmlformats.org/officeDocument/2006/relationships/hyperlink" Target="https://lcsc.com/brand-detail/11514.html" TargetMode="External"/><Relationship Id="rId24" Type="http://schemas.openxmlformats.org/officeDocument/2006/relationships/hyperlink" Target="https://lcsc.com/product-detail/Chip-Resistor-Surface-Mount_YAGEO-RC0201FR-0710KL_C106225.html" TargetMode="External"/><Relationship Id="rId32" Type="http://schemas.openxmlformats.org/officeDocument/2006/relationships/hyperlink" Target="https://lcsc.com/product-detail/Chip-Resistor-Surface-Mount_UNI-ROYAL-Uniroyal-Elec-0603WAF1201T5E_C22765.html" TargetMode="External"/><Relationship Id="rId37" Type="http://schemas.openxmlformats.org/officeDocument/2006/relationships/hyperlink" Target="https://lcsc.com/brand-detail/169.html" TargetMode="External"/><Relationship Id="rId40" Type="http://schemas.openxmlformats.org/officeDocument/2006/relationships/hyperlink" Target="https://lcsc.com/product-detail/Optocouplers-Phototransistor-Output_Lite-On-LTV-247_C115451.html" TargetMode="External"/><Relationship Id="rId45" Type="http://schemas.openxmlformats.org/officeDocument/2006/relationships/hyperlink" Target="https://www.chip1stop.com/USA/en/maker/wurth" TargetMode="External"/><Relationship Id="rId5" Type="http://schemas.openxmlformats.org/officeDocument/2006/relationships/hyperlink" Target="https://lcsc.com/brand-detail/396.html" TargetMode="External"/><Relationship Id="rId15" Type="http://schemas.openxmlformats.org/officeDocument/2006/relationships/hyperlink" Target="https://lcsc.com/brand-detail/369.html" TargetMode="External"/><Relationship Id="rId23" Type="http://schemas.openxmlformats.org/officeDocument/2006/relationships/hyperlink" Target="https://lcsc.com/brand-detail/396.html" TargetMode="External"/><Relationship Id="rId28" Type="http://schemas.openxmlformats.org/officeDocument/2006/relationships/hyperlink" Target="https://lcsc.com/product-detail/Chip-Resistor-Surface-Mount_YAGEO-RT0603DRD07200RL_C700498.html" TargetMode="External"/><Relationship Id="rId36" Type="http://schemas.openxmlformats.org/officeDocument/2006/relationships/hyperlink" Target="https://lcsc.com/product-detail/DC-DC-Converters_Texas-Instruments-MC34063ADR_C100023.html" TargetMode="External"/><Relationship Id="rId10" Type="http://schemas.openxmlformats.org/officeDocument/2006/relationships/hyperlink" Target="https://lcsc.com/product-detail/Multilayer-Ceramic-Capacitors-MLCC-SMD-SMT_YAGEO-CC0603KRX5R8BB105_C14664.html" TargetMode="External"/><Relationship Id="rId19" Type="http://schemas.openxmlformats.org/officeDocument/2006/relationships/hyperlink" Target="https://lcsc.com/brand-detail/111.html" TargetMode="External"/><Relationship Id="rId31" Type="http://schemas.openxmlformats.org/officeDocument/2006/relationships/hyperlink" Target="https://lcsc.com/brand-detail/99.html" TargetMode="External"/><Relationship Id="rId44" Type="http://schemas.openxmlformats.org/officeDocument/2006/relationships/hyperlink" Target="https://lcsc.com/product-detail/Pin-Headers_XFCN-PZ254V-11-05P_C492404.html" TargetMode="External"/><Relationship Id="rId4" Type="http://schemas.openxmlformats.org/officeDocument/2006/relationships/hyperlink" Target="https://lcsc.com/product-detail/Aluminum-Electrolytic-Capacitors-SMD_Changzhou-Huawei-Elec-VT1H471MI135000CE0_C191227.html" TargetMode="External"/><Relationship Id="rId9" Type="http://schemas.openxmlformats.org/officeDocument/2006/relationships/hyperlink" Target="https://lcsc.com/brand-detail/396.html" TargetMode="External"/><Relationship Id="rId14" Type="http://schemas.openxmlformats.org/officeDocument/2006/relationships/hyperlink" Target="https://lcsc.com/product-detail/MOSFETs_Diodes-Incorporated-DMN13H750S-7_C156273.html" TargetMode="External"/><Relationship Id="rId22" Type="http://schemas.openxmlformats.org/officeDocument/2006/relationships/hyperlink" Target="https://lcsc.com/product-detail/Chip-Resistor-Surface-Mount_YAGEO-RC0603FR-074K7L_C99782.html" TargetMode="External"/><Relationship Id="rId27" Type="http://schemas.openxmlformats.org/officeDocument/2006/relationships/hyperlink" Target="https://lcsc.com/brand-detail/396.html" TargetMode="External"/><Relationship Id="rId30" Type="http://schemas.openxmlformats.org/officeDocument/2006/relationships/hyperlink" Target="https://lcsc.com/product-detail/Chip-Resistor-Surface-Mount_YAGEO-RC0603FR-072KL_C105576.html" TargetMode="External"/><Relationship Id="rId35" Type="http://schemas.openxmlformats.org/officeDocument/2006/relationships/hyperlink" Target="https://lcsc.com/product-detail/Tactile-Switches_XKB-Connectivity-TS-1185EC-C-D-B_C318893.html" TargetMode="External"/><Relationship Id="rId43" Type="http://schemas.openxmlformats.org/officeDocument/2006/relationships/hyperlink" Target="https://lcsc.com/brand-detail/12130.html" TargetMode="External"/><Relationship Id="rId8" Type="http://schemas.openxmlformats.org/officeDocument/2006/relationships/hyperlink" Target="https://lcsc.com/product-detail/Multilayer-Ceramic-Capacitors-MLCC-SMD-SMT_YAGEO-CC0603ZRY5V9BB104_C106221.html" TargetMode="External"/><Relationship Id="rId3" Type="http://schemas.openxmlformats.org/officeDocument/2006/relationships/hyperlink" Target="https://lcsc.com/brand-detail/11416.html" TargetMode="External"/><Relationship Id="rId12" Type="http://schemas.openxmlformats.org/officeDocument/2006/relationships/hyperlink" Target="https://lcsc.com/product-detail/Schottky-Barrier-Diodes-SBD_Yangzhou-Yangjie-Elec-Tech-SS24A_C211773.html" TargetMode="External"/><Relationship Id="rId17" Type="http://schemas.openxmlformats.org/officeDocument/2006/relationships/hyperlink" Target="https://lcsc.com/product-detail/Ferrite-Beads_TDK-MMZ0603S601CT000_C275404.html" TargetMode="External"/><Relationship Id="rId25" Type="http://schemas.openxmlformats.org/officeDocument/2006/relationships/hyperlink" Target="https://lcsc.com/brand-detail/396.html" TargetMode="External"/><Relationship Id="rId33" Type="http://schemas.openxmlformats.org/officeDocument/2006/relationships/hyperlink" Target="https://lcsc.com/product-detail/Tactile-Switches_XKB-Connectivity-TS-1185EC-C-D-B_C318893.html" TargetMode="External"/><Relationship Id="rId38" Type="http://schemas.openxmlformats.org/officeDocument/2006/relationships/hyperlink" Target="https://lcsc.com/product-detail/MICROCHIP_Microchip-Tech-ATTINY1616-MNR_C507118.html" TargetMode="External"/><Relationship Id="rId46" Type="http://schemas.openxmlformats.org/officeDocument/2006/relationships/hyperlink" Target="https://lcsc.com/product-detail/Pin-Headers_PINREX-210-91-02GB01_C390678.html" TargetMode="External"/><Relationship Id="rId20" Type="http://schemas.openxmlformats.org/officeDocument/2006/relationships/hyperlink" Target="https://lcsc.com/product-detail/Chip-Resistor-Surface-Mount_RALEC-RTT03R330FTP_C103893.html" TargetMode="External"/><Relationship Id="rId41" Type="http://schemas.openxmlformats.org/officeDocument/2006/relationships/hyperlink" Target="https://lcsc.com/brand-detail/13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topLeftCell="H1" zoomScale="85" zoomScaleNormal="85" workbookViewId="0">
      <selection activeCell="J8" sqref="J8"/>
    </sheetView>
  </sheetViews>
  <sheetFormatPr defaultRowHeight="15" x14ac:dyDescent="0.25"/>
  <cols>
    <col min="1" max="1" width="6.7109375" bestFit="1" customWidth="1"/>
    <col min="2" max="2" width="21.85546875" bestFit="1" customWidth="1"/>
    <col min="3" max="3" width="73.7109375" customWidth="1"/>
    <col min="4" max="4" width="33.140625" bestFit="1" customWidth="1"/>
    <col min="5" max="5" width="29" bestFit="1" customWidth="1"/>
    <col min="6" max="6" width="37.7109375" bestFit="1" customWidth="1"/>
    <col min="7" max="7" width="26.28515625" bestFit="1" customWidth="1"/>
    <col min="8" max="8" width="27" bestFit="1" customWidth="1"/>
    <col min="9" max="9" width="18.85546875" bestFit="1" customWidth="1"/>
    <col min="11" max="11" width="19.42578125" bestFit="1" customWidth="1"/>
    <col min="12" max="12" width="17" bestFit="1" customWidth="1"/>
    <col min="13" max="13" width="12" bestFit="1" customWidth="1"/>
    <col min="15" max="15" width="18.7109375" bestFit="1" customWidth="1"/>
    <col min="16" max="16" width="17.28515625" bestFit="1" customWidth="1"/>
    <col min="17" max="17" width="18" bestFit="1" customWidth="1"/>
  </cols>
  <sheetData>
    <row r="1" spans="1:17" ht="16.5" thickBot="1" x14ac:dyDescent="0.3">
      <c r="A1" s="17" t="s">
        <v>99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ht="16.5" thickBot="1" x14ac:dyDescent="0.3">
      <c r="A2" s="1" t="s">
        <v>94</v>
      </c>
      <c r="B2" s="27" t="s">
        <v>100</v>
      </c>
      <c r="C2" s="1" t="s">
        <v>0</v>
      </c>
      <c r="D2" s="1" t="s">
        <v>1</v>
      </c>
      <c r="E2" s="1" t="s">
        <v>95</v>
      </c>
      <c r="F2" s="1" t="s">
        <v>3</v>
      </c>
      <c r="G2" s="1" t="s">
        <v>96</v>
      </c>
      <c r="H2" s="1" t="s">
        <v>101</v>
      </c>
      <c r="I2" s="1" t="s">
        <v>97</v>
      </c>
      <c r="J2" s="1" t="s">
        <v>2</v>
      </c>
      <c r="K2" s="1" t="s">
        <v>102</v>
      </c>
      <c r="L2" s="1" t="s">
        <v>103</v>
      </c>
      <c r="M2" s="26" t="s">
        <v>104</v>
      </c>
      <c r="N2" s="1" t="s">
        <v>105</v>
      </c>
      <c r="O2" s="1" t="s">
        <v>106</v>
      </c>
      <c r="P2" s="1" t="s">
        <v>107</v>
      </c>
      <c r="Q2" s="1" t="s">
        <v>98</v>
      </c>
    </row>
    <row r="3" spans="1:17" ht="15.75" thickBot="1" x14ac:dyDescent="0.3">
      <c r="A3" s="28">
        <v>1</v>
      </c>
      <c r="B3" s="32" t="s">
        <v>147</v>
      </c>
      <c r="C3" s="35" t="s">
        <v>5</v>
      </c>
      <c r="D3" s="36" t="s">
        <v>6</v>
      </c>
      <c r="E3" s="36" t="s">
        <v>7</v>
      </c>
      <c r="F3" s="36" t="s">
        <v>8</v>
      </c>
      <c r="G3" s="37" t="s">
        <v>109</v>
      </c>
      <c r="H3" s="38" t="s">
        <v>108</v>
      </c>
      <c r="I3" s="39" t="s">
        <v>146</v>
      </c>
      <c r="J3" s="36" t="s">
        <v>4</v>
      </c>
      <c r="K3" s="40">
        <v>1</v>
      </c>
      <c r="L3" s="40">
        <f>K3*5</f>
        <v>5</v>
      </c>
      <c r="M3" s="40">
        <v>7</v>
      </c>
      <c r="N3" s="37" t="s">
        <v>110</v>
      </c>
      <c r="O3" s="41">
        <v>1.3327</v>
      </c>
      <c r="P3" s="42">
        <f>O3*M3</f>
        <v>9.3289000000000009</v>
      </c>
      <c r="Q3" s="43"/>
    </row>
    <row r="4" spans="1:17" ht="15.75" thickBot="1" x14ac:dyDescent="0.3">
      <c r="A4" s="29">
        <f>A3+1</f>
        <v>2</v>
      </c>
      <c r="B4" s="33"/>
      <c r="C4" s="31" t="s">
        <v>10</v>
      </c>
      <c r="D4" s="4" t="s">
        <v>11</v>
      </c>
      <c r="E4" s="4" t="s">
        <v>157</v>
      </c>
      <c r="F4" s="4" t="s">
        <v>12</v>
      </c>
      <c r="G4" s="3" t="s">
        <v>112</v>
      </c>
      <c r="H4" s="12" t="s">
        <v>111</v>
      </c>
      <c r="I4" s="6" t="s">
        <v>146</v>
      </c>
      <c r="J4" s="4" t="s">
        <v>9</v>
      </c>
      <c r="K4" s="2">
        <v>1</v>
      </c>
      <c r="L4" s="2">
        <f t="shared" ref="L4:L25" si="0">K4*5</f>
        <v>5</v>
      </c>
      <c r="M4" s="2">
        <v>7</v>
      </c>
      <c r="N4" s="5" t="s">
        <v>110</v>
      </c>
      <c r="O4" s="11">
        <v>0.39140000000000003</v>
      </c>
      <c r="P4" s="7">
        <f t="shared" ref="P4:P25" si="1">O4*M4</f>
        <v>2.7398000000000002</v>
      </c>
      <c r="Q4" s="44"/>
    </row>
    <row r="5" spans="1:17" ht="15.75" thickBot="1" x14ac:dyDescent="0.3">
      <c r="A5" s="29">
        <f t="shared" ref="A5:A25" si="2">A4+1</f>
        <v>3</v>
      </c>
      <c r="B5" s="33"/>
      <c r="C5" s="31" t="s">
        <v>14</v>
      </c>
      <c r="D5" s="4" t="s">
        <v>15</v>
      </c>
      <c r="E5" s="4" t="s">
        <v>16</v>
      </c>
      <c r="F5" s="4" t="s">
        <v>17</v>
      </c>
      <c r="G5" s="5" t="s">
        <v>114</v>
      </c>
      <c r="H5" s="10" t="s">
        <v>113</v>
      </c>
      <c r="I5" s="6" t="s">
        <v>146</v>
      </c>
      <c r="J5" s="4" t="s">
        <v>13</v>
      </c>
      <c r="K5" s="2">
        <v>1</v>
      </c>
      <c r="L5" s="2">
        <f t="shared" si="0"/>
        <v>5</v>
      </c>
      <c r="M5" s="2">
        <v>100</v>
      </c>
      <c r="N5" s="5" t="s">
        <v>110</v>
      </c>
      <c r="O5" s="11">
        <v>3.3E-3</v>
      </c>
      <c r="P5" s="7">
        <f t="shared" si="1"/>
        <v>0.33</v>
      </c>
      <c r="Q5" s="44"/>
    </row>
    <row r="6" spans="1:17" ht="15.75" thickBot="1" x14ac:dyDescent="0.3">
      <c r="A6" s="29">
        <f t="shared" si="2"/>
        <v>4</v>
      </c>
      <c r="B6" s="33"/>
      <c r="C6" s="31" t="s">
        <v>19</v>
      </c>
      <c r="D6" s="4" t="s">
        <v>20</v>
      </c>
      <c r="E6" s="4" t="s">
        <v>16</v>
      </c>
      <c r="F6" s="4" t="s">
        <v>21</v>
      </c>
      <c r="G6" s="3" t="s">
        <v>114</v>
      </c>
      <c r="H6" s="10" t="s">
        <v>115</v>
      </c>
      <c r="I6" s="6" t="s">
        <v>146</v>
      </c>
      <c r="J6" s="4" t="s">
        <v>18</v>
      </c>
      <c r="K6" s="2">
        <v>2</v>
      </c>
      <c r="L6" s="2">
        <f t="shared" si="0"/>
        <v>10</v>
      </c>
      <c r="M6" s="2">
        <v>100</v>
      </c>
      <c r="N6" s="5" t="s">
        <v>110</v>
      </c>
      <c r="O6" s="11">
        <v>3.3999999999999998E-3</v>
      </c>
      <c r="P6" s="7">
        <f t="shared" si="1"/>
        <v>0.33999999999999997</v>
      </c>
      <c r="Q6" s="44"/>
    </row>
    <row r="7" spans="1:17" ht="15.75" thickBot="1" x14ac:dyDescent="0.3">
      <c r="A7" s="29">
        <f t="shared" si="2"/>
        <v>5</v>
      </c>
      <c r="B7" s="34"/>
      <c r="C7" s="45" t="s">
        <v>23</v>
      </c>
      <c r="D7" s="46" t="s">
        <v>24</v>
      </c>
      <c r="E7" s="46" t="s">
        <v>16</v>
      </c>
      <c r="F7" s="46" t="s">
        <v>25</v>
      </c>
      <c r="G7" s="47" t="s">
        <v>114</v>
      </c>
      <c r="H7" s="48" t="s">
        <v>116</v>
      </c>
      <c r="I7" s="49" t="s">
        <v>146</v>
      </c>
      <c r="J7" s="46" t="s">
        <v>22</v>
      </c>
      <c r="K7" s="50">
        <v>1</v>
      </c>
      <c r="L7" s="50">
        <f t="shared" si="0"/>
        <v>5</v>
      </c>
      <c r="M7" s="50">
        <v>50</v>
      </c>
      <c r="N7" s="47" t="s">
        <v>110</v>
      </c>
      <c r="O7" s="51">
        <v>7.1000000000000004E-3</v>
      </c>
      <c r="P7" s="52">
        <f t="shared" si="1"/>
        <v>0.35500000000000004</v>
      </c>
      <c r="Q7" s="53"/>
    </row>
    <row r="8" spans="1:17" ht="15.75" thickBot="1" x14ac:dyDescent="0.3">
      <c r="A8" s="29">
        <f t="shared" si="2"/>
        <v>6</v>
      </c>
      <c r="B8" s="76" t="s">
        <v>148</v>
      </c>
      <c r="C8" s="77" t="s">
        <v>27</v>
      </c>
      <c r="D8" s="78" t="s">
        <v>28</v>
      </c>
      <c r="E8" s="78" t="s">
        <v>157</v>
      </c>
      <c r="F8" s="78" t="s">
        <v>26</v>
      </c>
      <c r="G8" s="79" t="s">
        <v>117</v>
      </c>
      <c r="H8" s="80" t="s">
        <v>118</v>
      </c>
      <c r="I8" s="81" t="s">
        <v>146</v>
      </c>
      <c r="J8" s="81" t="s">
        <v>146</v>
      </c>
      <c r="K8" s="82">
        <v>1</v>
      </c>
      <c r="L8" s="82">
        <f t="shared" si="0"/>
        <v>5</v>
      </c>
      <c r="M8" s="82">
        <v>10</v>
      </c>
      <c r="N8" s="79" t="s">
        <v>110</v>
      </c>
      <c r="O8" s="83">
        <v>4.0599999999999997E-2</v>
      </c>
      <c r="P8" s="84">
        <f t="shared" si="1"/>
        <v>0.40599999999999997</v>
      </c>
      <c r="Q8" s="85"/>
    </row>
    <row r="9" spans="1:17" ht="15.75" thickBot="1" x14ac:dyDescent="0.3">
      <c r="A9" s="29">
        <f t="shared" si="2"/>
        <v>7</v>
      </c>
      <c r="B9" s="89" t="s">
        <v>149</v>
      </c>
      <c r="C9" s="90" t="s">
        <v>44</v>
      </c>
      <c r="D9" s="91" t="s">
        <v>45</v>
      </c>
      <c r="E9" s="91" t="s">
        <v>46</v>
      </c>
      <c r="F9" s="91" t="s">
        <v>43</v>
      </c>
      <c r="G9" s="92" t="s">
        <v>119</v>
      </c>
      <c r="H9" s="93" t="s">
        <v>120</v>
      </c>
      <c r="I9" s="94" t="s">
        <v>146</v>
      </c>
      <c r="J9" s="94" t="s">
        <v>146</v>
      </c>
      <c r="K9" s="95">
        <v>4</v>
      </c>
      <c r="L9" s="95">
        <f t="shared" si="0"/>
        <v>20</v>
      </c>
      <c r="M9" s="95">
        <v>22</v>
      </c>
      <c r="N9" s="96" t="s">
        <v>110</v>
      </c>
      <c r="O9" s="97">
        <v>0.31</v>
      </c>
      <c r="P9" s="98">
        <f t="shared" si="1"/>
        <v>6.82</v>
      </c>
      <c r="Q9" s="99"/>
    </row>
    <row r="10" spans="1:17" ht="15.75" thickBot="1" x14ac:dyDescent="0.3">
      <c r="A10" s="29">
        <f t="shared" si="2"/>
        <v>8</v>
      </c>
      <c r="B10" s="86" t="s">
        <v>150</v>
      </c>
      <c r="C10" s="30" t="s">
        <v>33</v>
      </c>
      <c r="D10" s="20" t="s">
        <v>34</v>
      </c>
      <c r="E10" s="20" t="s">
        <v>157</v>
      </c>
      <c r="F10" s="20" t="s">
        <v>35</v>
      </c>
      <c r="G10" s="21" t="s">
        <v>121</v>
      </c>
      <c r="H10" s="87" t="s">
        <v>122</v>
      </c>
      <c r="I10" s="22" t="s">
        <v>146</v>
      </c>
      <c r="J10" s="20" t="s">
        <v>32</v>
      </c>
      <c r="K10" s="23">
        <v>1</v>
      </c>
      <c r="L10" s="23">
        <f t="shared" si="0"/>
        <v>5</v>
      </c>
      <c r="M10" s="23">
        <v>7</v>
      </c>
      <c r="N10" s="21" t="s">
        <v>110</v>
      </c>
      <c r="O10" s="24">
        <v>0.44369999999999998</v>
      </c>
      <c r="P10" s="25">
        <f t="shared" si="1"/>
        <v>3.1059000000000001</v>
      </c>
      <c r="Q10" s="65"/>
    </row>
    <row r="11" spans="1:17" ht="15.75" thickBot="1" x14ac:dyDescent="0.3">
      <c r="A11" s="29">
        <f t="shared" si="2"/>
        <v>9</v>
      </c>
      <c r="B11" s="54"/>
      <c r="C11" s="55" t="s">
        <v>37</v>
      </c>
      <c r="D11" s="56" t="s">
        <v>38</v>
      </c>
      <c r="E11" s="56" t="s">
        <v>39</v>
      </c>
      <c r="F11" s="56" t="s">
        <v>36</v>
      </c>
      <c r="G11" s="57" t="s">
        <v>121</v>
      </c>
      <c r="H11" s="58" t="s">
        <v>123</v>
      </c>
      <c r="I11" s="59" t="s">
        <v>146</v>
      </c>
      <c r="J11" s="59" t="s">
        <v>146</v>
      </c>
      <c r="K11" s="60">
        <v>1</v>
      </c>
      <c r="L11" s="60">
        <f t="shared" si="0"/>
        <v>5</v>
      </c>
      <c r="M11" s="60">
        <v>50</v>
      </c>
      <c r="N11" s="61" t="s">
        <v>110</v>
      </c>
      <c r="O11" s="62">
        <v>1.5599999999999999E-2</v>
      </c>
      <c r="P11" s="63">
        <f t="shared" si="1"/>
        <v>0.77999999999999992</v>
      </c>
      <c r="Q11" s="66"/>
    </row>
    <row r="12" spans="1:17" ht="15.75" thickBot="1" x14ac:dyDescent="0.3">
      <c r="A12" s="29">
        <f t="shared" si="2"/>
        <v>10</v>
      </c>
      <c r="B12" s="32" t="s">
        <v>151</v>
      </c>
      <c r="C12" s="35" t="s">
        <v>48</v>
      </c>
      <c r="D12" s="36" t="s">
        <v>49</v>
      </c>
      <c r="E12" s="36" t="s">
        <v>50</v>
      </c>
      <c r="F12" s="36" t="s">
        <v>51</v>
      </c>
      <c r="G12" s="37" t="s">
        <v>124</v>
      </c>
      <c r="H12" s="38" t="s">
        <v>125</v>
      </c>
      <c r="I12" s="39" t="s">
        <v>146</v>
      </c>
      <c r="J12" s="36" t="s">
        <v>47</v>
      </c>
      <c r="K12" s="40">
        <v>1</v>
      </c>
      <c r="L12" s="40">
        <f t="shared" si="0"/>
        <v>5</v>
      </c>
      <c r="M12" s="40">
        <v>50</v>
      </c>
      <c r="N12" s="37" t="s">
        <v>110</v>
      </c>
      <c r="O12" s="41">
        <v>4.3E-3</v>
      </c>
      <c r="P12" s="42">
        <f t="shared" si="1"/>
        <v>0.215</v>
      </c>
      <c r="Q12" s="43"/>
    </row>
    <row r="13" spans="1:17" ht="15.75" thickBot="1" x14ac:dyDescent="0.3">
      <c r="A13" s="29">
        <f t="shared" si="2"/>
        <v>11</v>
      </c>
      <c r="B13" s="33"/>
      <c r="C13" s="31" t="s">
        <v>53</v>
      </c>
      <c r="D13" s="4" t="s">
        <v>54</v>
      </c>
      <c r="E13" s="4" t="s">
        <v>50</v>
      </c>
      <c r="F13" s="4" t="s">
        <v>55</v>
      </c>
      <c r="G13" s="3" t="s">
        <v>114</v>
      </c>
      <c r="H13" s="12" t="s">
        <v>126</v>
      </c>
      <c r="I13" s="6" t="s">
        <v>146</v>
      </c>
      <c r="J13" s="4" t="s">
        <v>52</v>
      </c>
      <c r="K13" s="2">
        <v>1</v>
      </c>
      <c r="L13" s="2">
        <f t="shared" si="0"/>
        <v>5</v>
      </c>
      <c r="M13" s="2">
        <v>100</v>
      </c>
      <c r="N13" s="5" t="s">
        <v>110</v>
      </c>
      <c r="O13" s="11">
        <v>1.5E-3</v>
      </c>
      <c r="P13" s="7">
        <f t="shared" si="1"/>
        <v>0.15</v>
      </c>
      <c r="Q13" s="44"/>
    </row>
    <row r="14" spans="1:17" ht="15.75" thickBot="1" x14ac:dyDescent="0.3">
      <c r="A14" s="29">
        <f t="shared" si="2"/>
        <v>12</v>
      </c>
      <c r="B14" s="33"/>
      <c r="C14" s="31" t="s">
        <v>57</v>
      </c>
      <c r="D14" s="4" t="s">
        <v>58</v>
      </c>
      <c r="E14" s="4" t="s">
        <v>59</v>
      </c>
      <c r="F14" s="4" t="s">
        <v>60</v>
      </c>
      <c r="G14" s="3" t="s">
        <v>114</v>
      </c>
      <c r="H14" s="12" t="s">
        <v>127</v>
      </c>
      <c r="I14" s="6" t="s">
        <v>146</v>
      </c>
      <c r="J14" s="4" t="s">
        <v>56</v>
      </c>
      <c r="K14" s="2">
        <v>4</v>
      </c>
      <c r="L14" s="2">
        <f t="shared" si="0"/>
        <v>20</v>
      </c>
      <c r="M14" s="2">
        <v>100</v>
      </c>
      <c r="N14" s="5" t="s">
        <v>110</v>
      </c>
      <c r="O14" s="11">
        <v>1.1999999999999999E-3</v>
      </c>
      <c r="P14" s="7">
        <f t="shared" si="1"/>
        <v>0.12</v>
      </c>
      <c r="Q14" s="44"/>
    </row>
    <row r="15" spans="1:17" ht="15.75" thickBot="1" x14ac:dyDescent="0.3">
      <c r="A15" s="29">
        <f t="shared" si="2"/>
        <v>13</v>
      </c>
      <c r="B15" s="33"/>
      <c r="C15" s="31" t="s">
        <v>62</v>
      </c>
      <c r="D15" s="4" t="s">
        <v>63</v>
      </c>
      <c r="E15" s="4" t="s">
        <v>50</v>
      </c>
      <c r="F15" s="4" t="s">
        <v>64</v>
      </c>
      <c r="G15" s="3" t="s">
        <v>114</v>
      </c>
      <c r="H15" s="12" t="s">
        <v>128</v>
      </c>
      <c r="I15" s="6" t="s">
        <v>146</v>
      </c>
      <c r="J15" s="4" t="s">
        <v>61</v>
      </c>
      <c r="K15" s="2">
        <v>5</v>
      </c>
      <c r="L15" s="2">
        <f t="shared" si="0"/>
        <v>25</v>
      </c>
      <c r="M15" s="2">
        <v>100</v>
      </c>
      <c r="N15" s="5" t="s">
        <v>110</v>
      </c>
      <c r="O15" s="11">
        <v>1.6000000000000001E-3</v>
      </c>
      <c r="P15" s="7">
        <f t="shared" si="1"/>
        <v>0.16</v>
      </c>
      <c r="Q15" s="44"/>
    </row>
    <row r="16" spans="1:17" ht="15.75" thickBot="1" x14ac:dyDescent="0.3">
      <c r="A16" s="29">
        <f t="shared" si="2"/>
        <v>14</v>
      </c>
      <c r="B16" s="33"/>
      <c r="C16" s="31" t="s">
        <v>66</v>
      </c>
      <c r="D16" s="4" t="s">
        <v>67</v>
      </c>
      <c r="E16" s="4" t="s">
        <v>50</v>
      </c>
      <c r="F16" s="4" t="s">
        <v>68</v>
      </c>
      <c r="G16" s="5" t="s">
        <v>114</v>
      </c>
      <c r="H16" s="12" t="s">
        <v>129</v>
      </c>
      <c r="I16" s="6" t="s">
        <v>146</v>
      </c>
      <c r="J16" s="4" t="s">
        <v>65</v>
      </c>
      <c r="K16" s="2">
        <v>5</v>
      </c>
      <c r="L16" s="2">
        <f t="shared" si="0"/>
        <v>25</v>
      </c>
      <c r="M16" s="2">
        <v>50</v>
      </c>
      <c r="N16" s="5" t="s">
        <v>110</v>
      </c>
      <c r="O16" s="11">
        <v>1.52E-2</v>
      </c>
      <c r="P16" s="7">
        <f t="shared" si="1"/>
        <v>0.76</v>
      </c>
      <c r="Q16" s="44"/>
    </row>
    <row r="17" spans="1:18" ht="15.75" thickBot="1" x14ac:dyDescent="0.3">
      <c r="A17" s="29">
        <f t="shared" si="2"/>
        <v>15</v>
      </c>
      <c r="B17" s="33"/>
      <c r="C17" s="31" t="s">
        <v>70</v>
      </c>
      <c r="D17" s="4" t="s">
        <v>71</v>
      </c>
      <c r="E17" s="4" t="s">
        <v>50</v>
      </c>
      <c r="F17" s="4" t="s">
        <v>72</v>
      </c>
      <c r="G17" s="3" t="s">
        <v>114</v>
      </c>
      <c r="H17" s="10" t="s">
        <v>130</v>
      </c>
      <c r="I17" s="6" t="s">
        <v>146</v>
      </c>
      <c r="J17" s="4" t="s">
        <v>69</v>
      </c>
      <c r="K17" s="2">
        <v>1</v>
      </c>
      <c r="L17" s="2">
        <f t="shared" si="0"/>
        <v>5</v>
      </c>
      <c r="M17" s="2">
        <v>100</v>
      </c>
      <c r="N17" s="5" t="s">
        <v>110</v>
      </c>
      <c r="O17" s="11">
        <v>1.5E-3</v>
      </c>
      <c r="P17" s="7">
        <f t="shared" si="1"/>
        <v>0.15</v>
      </c>
      <c r="Q17" s="44"/>
    </row>
    <row r="18" spans="1:18" ht="15.75" thickBot="1" x14ac:dyDescent="0.3">
      <c r="A18" s="29">
        <f t="shared" si="2"/>
        <v>16</v>
      </c>
      <c r="B18" s="34"/>
      <c r="C18" s="45" t="s">
        <v>74</v>
      </c>
      <c r="D18" s="46" t="s">
        <v>75</v>
      </c>
      <c r="E18" s="46" t="s">
        <v>50</v>
      </c>
      <c r="F18" s="46" t="s">
        <v>76</v>
      </c>
      <c r="G18" s="47" t="s">
        <v>132</v>
      </c>
      <c r="H18" s="64" t="s">
        <v>131</v>
      </c>
      <c r="I18" s="49" t="s">
        <v>146</v>
      </c>
      <c r="J18" s="46" t="s">
        <v>73</v>
      </c>
      <c r="K18" s="50">
        <v>1</v>
      </c>
      <c r="L18" s="50">
        <f t="shared" si="0"/>
        <v>5</v>
      </c>
      <c r="M18" s="50">
        <v>100</v>
      </c>
      <c r="N18" s="47" t="s">
        <v>110</v>
      </c>
      <c r="O18" s="51">
        <v>1.4E-3</v>
      </c>
      <c r="P18" s="52">
        <f t="shared" si="1"/>
        <v>0.13999999999999999</v>
      </c>
      <c r="Q18" s="53"/>
    </row>
    <row r="19" spans="1:18" ht="15.75" thickBot="1" x14ac:dyDescent="0.3">
      <c r="A19" s="29">
        <f t="shared" si="2"/>
        <v>17</v>
      </c>
      <c r="B19" s="76" t="s">
        <v>152</v>
      </c>
      <c r="C19" s="77" t="s">
        <v>78</v>
      </c>
      <c r="D19" s="78" t="s">
        <v>79</v>
      </c>
      <c r="E19" s="78" t="s">
        <v>157</v>
      </c>
      <c r="F19" s="78" t="s">
        <v>77</v>
      </c>
      <c r="G19" s="79" t="s">
        <v>135</v>
      </c>
      <c r="H19" s="80" t="s">
        <v>133</v>
      </c>
      <c r="I19" s="81" t="s">
        <v>146</v>
      </c>
      <c r="J19" s="81" t="s">
        <v>146</v>
      </c>
      <c r="K19" s="82">
        <v>1</v>
      </c>
      <c r="L19" s="82">
        <f t="shared" si="0"/>
        <v>5</v>
      </c>
      <c r="M19" s="82">
        <v>10</v>
      </c>
      <c r="N19" s="79" t="s">
        <v>110</v>
      </c>
      <c r="O19" s="83">
        <v>5.9499999999999997E-2</v>
      </c>
      <c r="P19" s="84">
        <f t="shared" si="1"/>
        <v>0.59499999999999997</v>
      </c>
      <c r="Q19" s="85"/>
    </row>
    <row r="20" spans="1:18" ht="15.75" thickBot="1" x14ac:dyDescent="0.3">
      <c r="A20" s="29">
        <f t="shared" si="2"/>
        <v>18</v>
      </c>
      <c r="B20" s="32" t="s">
        <v>156</v>
      </c>
      <c r="C20" s="35" t="s">
        <v>81</v>
      </c>
      <c r="D20" s="36" t="s">
        <v>82</v>
      </c>
      <c r="E20" s="36" t="s">
        <v>83</v>
      </c>
      <c r="F20" s="36" t="s">
        <v>80</v>
      </c>
      <c r="G20" s="37" t="s">
        <v>134</v>
      </c>
      <c r="H20" s="88" t="s">
        <v>136</v>
      </c>
      <c r="I20" s="39" t="s">
        <v>146</v>
      </c>
      <c r="J20" s="39" t="s">
        <v>146</v>
      </c>
      <c r="K20" s="40">
        <v>1</v>
      </c>
      <c r="L20" s="40">
        <f t="shared" si="0"/>
        <v>5</v>
      </c>
      <c r="M20" s="40">
        <v>7</v>
      </c>
      <c r="N20" s="37" t="s">
        <v>110</v>
      </c>
      <c r="O20" s="41">
        <v>0.4869</v>
      </c>
      <c r="P20" s="42">
        <f t="shared" si="1"/>
        <v>3.4083000000000001</v>
      </c>
      <c r="Q20" s="43"/>
    </row>
    <row r="21" spans="1:18" ht="15.75" thickBot="1" x14ac:dyDescent="0.3">
      <c r="A21" s="29">
        <f t="shared" si="2"/>
        <v>19</v>
      </c>
      <c r="B21" s="33"/>
      <c r="C21" s="31" t="s">
        <v>85</v>
      </c>
      <c r="D21" s="4" t="s">
        <v>86</v>
      </c>
      <c r="E21" s="4" t="s">
        <v>87</v>
      </c>
      <c r="F21" s="4" t="s">
        <v>84</v>
      </c>
      <c r="G21" s="3" t="s">
        <v>138</v>
      </c>
      <c r="H21" s="10" t="s">
        <v>137</v>
      </c>
      <c r="I21" s="6" t="s">
        <v>146</v>
      </c>
      <c r="J21" s="6" t="s">
        <v>146</v>
      </c>
      <c r="K21" s="2">
        <v>1</v>
      </c>
      <c r="L21" s="2">
        <f t="shared" si="0"/>
        <v>5</v>
      </c>
      <c r="M21" s="2">
        <v>7</v>
      </c>
      <c r="N21" s="5" t="s">
        <v>110</v>
      </c>
      <c r="O21" s="11">
        <v>1.8827</v>
      </c>
      <c r="P21" s="7">
        <f t="shared" si="1"/>
        <v>13.178900000000001</v>
      </c>
      <c r="Q21" s="44"/>
    </row>
    <row r="22" spans="1:18" ht="15.75" thickBot="1" x14ac:dyDescent="0.3">
      <c r="A22" s="29">
        <f t="shared" si="2"/>
        <v>20</v>
      </c>
      <c r="B22" s="33"/>
      <c r="C22" s="31" t="s">
        <v>89</v>
      </c>
      <c r="D22" s="4" t="s">
        <v>90</v>
      </c>
      <c r="E22" s="4" t="s">
        <v>88</v>
      </c>
      <c r="F22" s="4" t="s">
        <v>88</v>
      </c>
      <c r="G22" s="5" t="s">
        <v>139</v>
      </c>
      <c r="H22" s="10" t="s">
        <v>140</v>
      </c>
      <c r="I22" s="6" t="s">
        <v>146</v>
      </c>
      <c r="J22" s="6" t="s">
        <v>146</v>
      </c>
      <c r="K22" s="2">
        <v>1</v>
      </c>
      <c r="L22" s="2">
        <f t="shared" si="0"/>
        <v>5</v>
      </c>
      <c r="M22" s="2">
        <v>7</v>
      </c>
      <c r="N22" s="5" t="s">
        <v>110</v>
      </c>
      <c r="O22" s="11">
        <v>0.95220000000000005</v>
      </c>
      <c r="P22" s="7">
        <f t="shared" si="1"/>
        <v>6.6654</v>
      </c>
      <c r="Q22" s="44"/>
    </row>
    <row r="23" spans="1:18" ht="15.75" thickBot="1" x14ac:dyDescent="0.3">
      <c r="A23" s="29">
        <f t="shared" si="2"/>
        <v>21</v>
      </c>
      <c r="B23" s="34"/>
      <c r="C23" s="45" t="s">
        <v>92</v>
      </c>
      <c r="D23" s="46" t="s">
        <v>93</v>
      </c>
      <c r="E23" s="46" t="s">
        <v>158</v>
      </c>
      <c r="F23" s="46" t="s">
        <v>91</v>
      </c>
      <c r="G23" s="47" t="s">
        <v>142</v>
      </c>
      <c r="H23" s="64" t="s">
        <v>141</v>
      </c>
      <c r="I23" s="49" t="s">
        <v>146</v>
      </c>
      <c r="J23" s="49" t="s">
        <v>146</v>
      </c>
      <c r="K23" s="50">
        <v>1</v>
      </c>
      <c r="L23" s="50">
        <f t="shared" si="0"/>
        <v>5</v>
      </c>
      <c r="M23" s="50">
        <v>7</v>
      </c>
      <c r="N23" s="47" t="s">
        <v>110</v>
      </c>
      <c r="O23" s="51">
        <v>0.54279999999999995</v>
      </c>
      <c r="P23" s="52">
        <f t="shared" si="1"/>
        <v>3.7995999999999999</v>
      </c>
      <c r="Q23" s="53"/>
    </row>
    <row r="24" spans="1:18" ht="15.75" thickBot="1" x14ac:dyDescent="0.3">
      <c r="A24" s="29">
        <f t="shared" si="2"/>
        <v>22</v>
      </c>
      <c r="B24" s="86" t="s">
        <v>153</v>
      </c>
      <c r="C24" s="30" t="s">
        <v>30</v>
      </c>
      <c r="D24" s="20" t="s">
        <v>31</v>
      </c>
      <c r="E24" s="20" t="s">
        <v>157</v>
      </c>
      <c r="F24" s="20" t="s">
        <v>29</v>
      </c>
      <c r="G24" s="21" t="s">
        <v>143</v>
      </c>
      <c r="H24" s="87" t="s">
        <v>144</v>
      </c>
      <c r="I24" s="22" t="s">
        <v>146</v>
      </c>
      <c r="J24" s="22" t="s">
        <v>146</v>
      </c>
      <c r="K24" s="23">
        <v>1</v>
      </c>
      <c r="L24" s="23">
        <f t="shared" si="0"/>
        <v>5</v>
      </c>
      <c r="M24" s="23">
        <v>20</v>
      </c>
      <c r="N24" s="21" t="s">
        <v>110</v>
      </c>
      <c r="O24" s="24">
        <v>3.1399999999999997E-2</v>
      </c>
      <c r="P24" s="25">
        <f t="shared" si="1"/>
        <v>0.62799999999999989</v>
      </c>
      <c r="Q24" s="65"/>
    </row>
    <row r="25" spans="1:18" ht="15.75" thickBot="1" x14ac:dyDescent="0.3">
      <c r="A25" s="29">
        <f t="shared" si="2"/>
        <v>23</v>
      </c>
      <c r="B25" s="34"/>
      <c r="C25" s="67" t="s">
        <v>41</v>
      </c>
      <c r="D25" s="68" t="s">
        <v>42</v>
      </c>
      <c r="E25" s="68" t="s">
        <v>157</v>
      </c>
      <c r="F25" s="69" t="s">
        <v>40</v>
      </c>
      <c r="G25" s="70" t="s">
        <v>145</v>
      </c>
      <c r="H25" s="64" t="s">
        <v>159</v>
      </c>
      <c r="I25" s="48" t="s">
        <v>160</v>
      </c>
      <c r="J25" s="68" t="s">
        <v>146</v>
      </c>
      <c r="K25" s="71">
        <v>10</v>
      </c>
      <c r="L25" s="71">
        <f t="shared" si="0"/>
        <v>50</v>
      </c>
      <c r="M25" s="71">
        <v>100</v>
      </c>
      <c r="N25" s="72" t="s">
        <v>110</v>
      </c>
      <c r="O25" s="73">
        <v>8.9999999999999993E-3</v>
      </c>
      <c r="P25" s="74">
        <f t="shared" si="1"/>
        <v>0.89999999999999991</v>
      </c>
      <c r="Q25" s="75"/>
      <c r="R25" s="9"/>
    </row>
    <row r="26" spans="1:18" ht="15.75" thickBot="1" x14ac:dyDescent="0.3">
      <c r="C26" s="13"/>
      <c r="D26" s="13"/>
      <c r="E26" s="13"/>
      <c r="F26" s="13"/>
      <c r="G26" s="13"/>
      <c r="H26" s="13"/>
      <c r="I26" s="14"/>
      <c r="J26" s="13"/>
      <c r="K26" s="16" t="s">
        <v>154</v>
      </c>
      <c r="L26" s="16"/>
      <c r="M26" s="16"/>
      <c r="N26" s="16"/>
      <c r="O26" s="13"/>
      <c r="P26" s="8">
        <f>SUM(P3:P25)</f>
        <v>55.075800000000001</v>
      </c>
    </row>
    <row r="27" spans="1:18" ht="15.75" thickBot="1" x14ac:dyDescent="0.3">
      <c r="C27" s="13"/>
      <c r="D27" s="13"/>
      <c r="E27" s="13"/>
      <c r="F27" s="13"/>
      <c r="G27" s="13"/>
      <c r="H27" s="13"/>
      <c r="I27" s="13"/>
      <c r="J27" s="13"/>
      <c r="K27" s="16" t="s">
        <v>155</v>
      </c>
      <c r="L27" s="16"/>
      <c r="M27" s="16"/>
      <c r="N27" s="16"/>
      <c r="O27" s="13"/>
      <c r="P27" s="15">
        <f>P26/5</f>
        <v>11.01516</v>
      </c>
    </row>
  </sheetData>
  <mergeCells count="8">
    <mergeCell ref="B24:B25"/>
    <mergeCell ref="K26:N26"/>
    <mergeCell ref="K27:N27"/>
    <mergeCell ref="A1:Q1"/>
    <mergeCell ref="B3:B7"/>
    <mergeCell ref="B10:B11"/>
    <mergeCell ref="B12:B18"/>
    <mergeCell ref="B20:B23"/>
  </mergeCells>
  <conditionalFormatting sqref="K3:L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2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{C491F634-C082-4E04-A1B4-EFC88213F5DE}</x14:id>
        </ext>
      </extLst>
    </cfRule>
  </conditionalFormatting>
  <conditionalFormatting sqref="P27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{3764089E-FC07-49BD-BB8E-A8046458D614}</x14:id>
        </ext>
      </extLst>
    </cfRule>
  </conditionalFormatting>
  <hyperlinks>
    <hyperlink ref="G3" r:id="rId1" display="https://lcsc.com/brand-detail/219.html" xr:uid="{00000000-0004-0000-0000-000000000000}"/>
    <hyperlink ref="N3" r:id="rId2" xr:uid="{00000000-0004-0000-0000-000001000000}"/>
    <hyperlink ref="G4" r:id="rId3" display="https://lcsc.com/brand-detail/11416.html" xr:uid="{00000000-0004-0000-0000-000002000000}"/>
    <hyperlink ref="N4" r:id="rId4" xr:uid="{00000000-0004-0000-0000-000003000000}"/>
    <hyperlink ref="G5" r:id="rId5" display="https://lcsc.com/brand-detail/396.html" xr:uid="{00000000-0004-0000-0000-000004000000}"/>
    <hyperlink ref="N5" r:id="rId6" xr:uid="{00000000-0004-0000-0000-000005000000}"/>
    <hyperlink ref="G6" r:id="rId7" display="https://lcsc.com/brand-detail/396.html" xr:uid="{00000000-0004-0000-0000-000006000000}"/>
    <hyperlink ref="N6" r:id="rId8" xr:uid="{00000000-0004-0000-0000-000007000000}"/>
    <hyperlink ref="G7" r:id="rId9" display="https://lcsc.com/brand-detail/396.html" xr:uid="{00000000-0004-0000-0000-000008000000}"/>
    <hyperlink ref="N7" r:id="rId10" xr:uid="{00000000-0004-0000-0000-000009000000}"/>
    <hyperlink ref="G8" r:id="rId11" display="https://lcsc.com/brand-detail/11514.html" xr:uid="{00000000-0004-0000-0000-00000A000000}"/>
    <hyperlink ref="N8" r:id="rId12" xr:uid="{00000000-0004-0000-0000-00000B000000}"/>
    <hyperlink ref="G9" r:id="rId13" display="https://lcsc.com/brand-detail/296.html" xr:uid="{00000000-0004-0000-0000-00000C000000}"/>
    <hyperlink ref="N9" r:id="rId14" xr:uid="{00000000-0004-0000-0000-00000D000000}"/>
    <hyperlink ref="G10" r:id="rId15" display="https://lcsc.com/brand-detail/369.html" xr:uid="{00000000-0004-0000-0000-00000E000000}"/>
    <hyperlink ref="N10" r:id="rId16" xr:uid="{00000000-0004-0000-0000-00000F000000}"/>
    <hyperlink ref="G11" r:id="rId17" display="https://lcsc.com/product-detail/Ferrite-Beads_TDK-MMZ0603S601CT000_C275404.html" xr:uid="{00000000-0004-0000-0000-000010000000}"/>
    <hyperlink ref="N11" r:id="rId18" xr:uid="{00000000-0004-0000-0000-000011000000}"/>
    <hyperlink ref="G12" r:id="rId19" display="https://lcsc.com/brand-detail/111.html" xr:uid="{00000000-0004-0000-0000-000012000000}"/>
    <hyperlink ref="N12" r:id="rId20" xr:uid="{00000000-0004-0000-0000-000013000000}"/>
    <hyperlink ref="G13" r:id="rId21" display="https://lcsc.com/brand-detail/396.html" xr:uid="{00000000-0004-0000-0000-000014000000}"/>
    <hyperlink ref="N13" r:id="rId22" xr:uid="{00000000-0004-0000-0000-000015000000}"/>
    <hyperlink ref="G14" r:id="rId23" display="https://lcsc.com/brand-detail/396.html" xr:uid="{00000000-0004-0000-0000-000016000000}"/>
    <hyperlink ref="N14" r:id="rId24" xr:uid="{00000000-0004-0000-0000-000017000000}"/>
    <hyperlink ref="G15" r:id="rId25" display="https://lcsc.com/brand-detail/396.html" xr:uid="{00000000-0004-0000-0000-000018000000}"/>
    <hyperlink ref="N15" r:id="rId26" xr:uid="{00000000-0004-0000-0000-000019000000}"/>
    <hyperlink ref="G16" r:id="rId27" display="https://lcsc.com/brand-detail/396.html" xr:uid="{00000000-0004-0000-0000-00001A000000}"/>
    <hyperlink ref="N16" r:id="rId28" xr:uid="{00000000-0004-0000-0000-00001B000000}"/>
    <hyperlink ref="G17" r:id="rId29" display="https://lcsc.com/brand-detail/396.html" xr:uid="{00000000-0004-0000-0000-00001C000000}"/>
    <hyperlink ref="N17" r:id="rId30" xr:uid="{00000000-0004-0000-0000-00001D000000}"/>
    <hyperlink ref="G18" r:id="rId31" display="https://lcsc.com/brand-detail/99.html" xr:uid="{00000000-0004-0000-0000-00001E000000}"/>
    <hyperlink ref="N18" r:id="rId32" xr:uid="{00000000-0004-0000-0000-00001F000000}"/>
    <hyperlink ref="N19" r:id="rId33" xr:uid="{00000000-0004-0000-0000-000020000000}"/>
    <hyperlink ref="G20" r:id="rId34" display="https://lcsc.com/brand-detail/100.html" xr:uid="{00000000-0004-0000-0000-000021000000}"/>
    <hyperlink ref="G19" r:id="rId35" display="https://lcsc.com/product-detail/Tactile-Switches_XKB-Connectivity-TS-1185EC-C-D-B_C318893.html" xr:uid="{00000000-0004-0000-0000-000022000000}"/>
    <hyperlink ref="N20" r:id="rId36" xr:uid="{00000000-0004-0000-0000-000023000000}"/>
    <hyperlink ref="G21" r:id="rId37" display="https://lcsc.com/brand-detail/169.html" xr:uid="{00000000-0004-0000-0000-000024000000}"/>
    <hyperlink ref="N21" r:id="rId38" xr:uid="{00000000-0004-0000-0000-000025000000}"/>
    <hyperlink ref="G22" r:id="rId39" display="https://lcsc.com/brand-detail/68.html" xr:uid="{00000000-0004-0000-0000-000026000000}"/>
    <hyperlink ref="N22" r:id="rId40" xr:uid="{00000000-0004-0000-0000-000027000000}"/>
    <hyperlink ref="G23" r:id="rId41" display="https://lcsc.com/brand-detail/134.html" xr:uid="{00000000-0004-0000-0000-000028000000}"/>
    <hyperlink ref="N23" r:id="rId42" xr:uid="{00000000-0004-0000-0000-000029000000}"/>
    <hyperlink ref="G24" r:id="rId43" display="https://lcsc.com/brand-detail/12130.html" xr:uid="{00000000-0004-0000-0000-00002A000000}"/>
    <hyperlink ref="N24" r:id="rId44" xr:uid="{00000000-0004-0000-0000-00002B000000}"/>
    <hyperlink ref="G25" r:id="rId45" display="https://www.chip1stop.com/USA/en/maker/wurth" xr:uid="{00000000-0004-0000-0000-00002C000000}"/>
    <hyperlink ref="N25" r:id="rId46" xr:uid="{00000000-0004-0000-0000-00002D000000}"/>
  </hyperlinks>
  <pageMargins left="0.7" right="0.7" top="0.75" bottom="0.75" header="0.3" footer="0.3"/>
  <pageSetup paperSize="9" orientation="portrait" r:id="rId4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91F634-C082-4E04-A1B4-EFC88213F5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3764089E-FC07-49BD-BB8E-A8046458D6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TRADERS</dc:creator>
  <cp:lastModifiedBy>HP</cp:lastModifiedBy>
  <dcterms:created xsi:type="dcterms:W3CDTF">2022-05-26T07:11:12Z</dcterms:created>
  <dcterms:modified xsi:type="dcterms:W3CDTF">2022-05-27T08:42:07Z</dcterms:modified>
</cp:coreProperties>
</file>