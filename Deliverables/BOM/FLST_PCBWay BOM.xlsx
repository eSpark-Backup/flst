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lst\Deliverables\BOM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25" i="1"/>
  <c r="J10" i="1"/>
  <c r="J9" i="1"/>
  <c r="J24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<sst xmlns="http://schemas.openxmlformats.org/spreadsheetml/2006/main" count="157" uniqueCount="141">
  <si>
    <t>Designator</t>
  </si>
  <si>
    <t>Description</t>
  </si>
  <si>
    <t>Footprint</t>
  </si>
  <si>
    <t>Manufacturer Part Number</t>
  </si>
  <si>
    <t>LCSC/Part No</t>
  </si>
  <si>
    <t>Comment</t>
  </si>
  <si>
    <t>Quantity</t>
  </si>
  <si>
    <t>Quantity/5 Boards</t>
  </si>
  <si>
    <t>LCSC/MOQ/5 Boards</t>
  </si>
  <si>
    <t>C1</t>
  </si>
  <si>
    <t>CAP TANT 100UF 20% 25V 2917</t>
  </si>
  <si>
    <t>CAP- 2917</t>
  </si>
  <si>
    <t>TAJE107M025RNJ</t>
  </si>
  <si>
    <t>C7230</t>
  </si>
  <si>
    <t>100uF</t>
  </si>
  <si>
    <t>C2</t>
  </si>
  <si>
    <t>470uF ±20% 50V 12.5mm 13.5mm 1000hrs 105℃ -40℃~+105℃ SMD,12.5x13.5mm Aluminum Electrolytic Capacitors - SMD RoHS</t>
  </si>
  <si>
    <t>Custom</t>
  </si>
  <si>
    <t>VKMD1001J101MV</t>
  </si>
  <si>
    <t>C191227</t>
  </si>
  <si>
    <t>470uF</t>
  </si>
  <si>
    <t>C3</t>
  </si>
  <si>
    <t>CAP CER 470pF 10% X7R 50V 0603 SMD</t>
  </si>
  <si>
    <t>Cap0603</t>
  </si>
  <si>
    <t>CC0603KRX7R9BB471</t>
  </si>
  <si>
    <t>C107092</t>
  </si>
  <si>
    <t>470pF</t>
  </si>
  <si>
    <t>C4, C6</t>
  </si>
  <si>
    <t>CAP CER 0.1UF 50V Y5V 0603</t>
  </si>
  <si>
    <t>CC0603ZRY5V9BB104</t>
  </si>
  <si>
    <t>C106221</t>
  </si>
  <si>
    <t>0.1uF</t>
  </si>
  <si>
    <t>C5</t>
  </si>
  <si>
    <t>CAP CER 1UF 25V X5R 0603</t>
  </si>
  <si>
    <t>CC0603KRX5R8BB105</t>
  </si>
  <si>
    <t>C14664</t>
  </si>
  <si>
    <t>1uF</t>
  </si>
  <si>
    <t>D1</t>
  </si>
  <si>
    <t>40V 500mV@2A 2A SMA(DO-214AC) Schottky Barrier Diodes (SBD) ROHS</t>
  </si>
  <si>
    <t>SMA</t>
  </si>
  <si>
    <t>SS24A</t>
  </si>
  <si>
    <t>C211773</t>
  </si>
  <si>
    <t>--------</t>
  </si>
  <si>
    <t>J1</t>
  </si>
  <si>
    <t>Pin Header 5 1 right-angle</t>
  </si>
  <si>
    <t>HDR1X5</t>
  </si>
  <si>
    <t>PZ254V-11-05P</t>
  </si>
  <si>
    <t>C492404</t>
  </si>
  <si>
    <t>-------</t>
  </si>
  <si>
    <t>L1</t>
  </si>
  <si>
    <t>Inductor Power Shielded Wirewound 220uH 20% 1KHz Ferrite 1.3A 310mOhm DCR Blister T/R</t>
  </si>
  <si>
    <t>SLF12575T-221M1R3-PF</t>
  </si>
  <si>
    <t>C93225</t>
  </si>
  <si>
    <t>220uH</t>
  </si>
  <si>
    <t>L2</t>
  </si>
  <si>
    <t>FERRITE BEAD 600 OHM 0201 1LN</t>
  </si>
  <si>
    <t>IND 0201</t>
  </si>
  <si>
    <t>MMZ0603S601CT000</t>
  </si>
  <si>
    <t>C275404</t>
  </si>
  <si>
    <t>P1, P2, P3, P4, P5, P6, P7, P8, P9, P10</t>
  </si>
  <si>
    <t>CONN HEADER VERT 2POS 2.54MM</t>
  </si>
  <si>
    <t>HDR1X2</t>
  </si>
  <si>
    <t>210-91-02GB01</t>
  </si>
  <si>
    <t>C390678</t>
  </si>
  <si>
    <t>Q1, Q2, Q3, Q4</t>
  </si>
  <si>
    <t>MOSFET N-CH 130V 1A SOT23</t>
  </si>
  <si>
    <t>SOT23-3</t>
  </si>
  <si>
    <t>DMN13H750S-7</t>
  </si>
  <si>
    <t>C156273</t>
  </si>
  <si>
    <t>R1</t>
  </si>
  <si>
    <t>0.33Ω 0603 Chip Resistor - Surface Mount ROHS</t>
  </si>
  <si>
    <t>RES-0603</t>
  </si>
  <si>
    <t>RTT03R330FTP</t>
  </si>
  <si>
    <t>C103893</t>
  </si>
  <si>
    <t>0.33R</t>
  </si>
  <si>
    <t>R2</t>
  </si>
  <si>
    <t>RES SMD 4.7K OHM 1% 1/10W 0603</t>
  </si>
  <si>
    <t>RC0603FR-074K7L</t>
  </si>
  <si>
    <t>C99782</t>
  </si>
  <si>
    <t>4.7K</t>
  </si>
  <si>
    <t>R3, R8, R14, R15</t>
  </si>
  <si>
    <t>RES SMD 10K OHM 1% 1/20W 0201</t>
  </si>
  <si>
    <t>Res-0201</t>
  </si>
  <si>
    <t>RC0201FR-0710KL</t>
  </si>
  <si>
    <t>C106225</t>
  </si>
  <si>
    <t>10K</t>
  </si>
  <si>
    <t>R4, R5, R6, R7, R9</t>
  </si>
  <si>
    <t>RES SMD 3.3K OHM 1% 1/10W 0603</t>
  </si>
  <si>
    <t>RC0603FR-073K3L</t>
  </si>
  <si>
    <t>C108078</t>
  </si>
  <si>
    <t>3.3K</t>
  </si>
  <si>
    <t>R10, R11, R12, R13, R16</t>
  </si>
  <si>
    <t>RES SMD 200 OHM 0.5% 1/10W 0603</t>
  </si>
  <si>
    <t>RT0603DRD07200RL</t>
  </si>
  <si>
    <t>C700498</t>
  </si>
  <si>
    <t>200R</t>
  </si>
  <si>
    <t>RF1</t>
  </si>
  <si>
    <t>RES SMD 2K OHM 1% 1/10W 0603</t>
  </si>
  <si>
    <t>RC0603FR-072KL</t>
  </si>
  <si>
    <t>C105576</t>
  </si>
  <si>
    <t>2K</t>
  </si>
  <si>
    <t>RF2</t>
  </si>
  <si>
    <t>±1% 1/10W Thick Film Resistors 75V ±100ppm/℃ -55℃~+155℃ 1.2kΩ 0603 Chip Resistor - Surface Mount ROHS</t>
  </si>
  <si>
    <t>0603WAF1201T5E</t>
  </si>
  <si>
    <t>C22765</t>
  </si>
  <si>
    <t>1.2K</t>
  </si>
  <si>
    <t>SW1</t>
  </si>
  <si>
    <t>3mm 2mm Round Button 50mA Top3.65mm SPST 12V SMD Tactile Switches</t>
  </si>
  <si>
    <t>TS-1185EC-C-D-B</t>
  </si>
  <si>
    <t>C318893</t>
  </si>
  <si>
    <t>U1</t>
  </si>
  <si>
    <t>1.5-A boost, buck, inverting switching regulator, operation from 0°C to 70°C 8-SOIC 0 to 70</t>
  </si>
  <si>
    <t>SOIC-8</t>
  </si>
  <si>
    <t>MC34063ADR</t>
  </si>
  <si>
    <t>C100023</t>
  </si>
  <si>
    <t>U2</t>
  </si>
  <si>
    <t>IC MCU 8BIT 16KB FLASH 20VQFN</t>
  </si>
  <si>
    <t>20-QFN</t>
  </si>
  <si>
    <t>ATTINY1616-MNR</t>
  </si>
  <si>
    <t>C507118</t>
  </si>
  <si>
    <t>U3</t>
  </si>
  <si>
    <t>OPTOISO 3.75KV 4CH TRANS 16SO</t>
  </si>
  <si>
    <t>16SO</t>
  </si>
  <si>
    <t>LTV-247</t>
  </si>
  <si>
    <t>C115451</t>
  </si>
  <si>
    <t>U4</t>
  </si>
  <si>
    <t>TransistorOptocouplers DC 1 2500Vrms SOP-4_P1.27 Optocouplers RoHS</t>
  </si>
  <si>
    <t>SOP-4</t>
  </si>
  <si>
    <t>PS2801C-1-F3-A</t>
  </si>
  <si>
    <t>C67112</t>
  </si>
  <si>
    <t>Bill of Material (BOM) for Oliver</t>
  </si>
  <si>
    <t>Value</t>
  </si>
  <si>
    <t>Diode</t>
  </si>
  <si>
    <t>Connector</t>
  </si>
  <si>
    <t>Inductor</t>
  </si>
  <si>
    <t>Resistor</t>
  </si>
  <si>
    <t>Switch</t>
  </si>
  <si>
    <t>Transistor</t>
  </si>
  <si>
    <t>Capacitor</t>
  </si>
  <si>
    <t>IC</t>
  </si>
  <si>
    <t>S:No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</si>
</sst>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60" zoomScaleNormal="60" workbookViewId="0">
      <selection activeCell="A3" sqref="A3"/>
    </sheetView>
  </sheetViews>
  <sheetFormatPr defaultRowHeight="15"/>
  <cols>
    <col min="1" max="1" width="5.7109375" bestFit="1" customWidth="1"/>
    <col min="2" max="2" width="13.5703125" bestFit="1" customWidth="1"/>
    <col min="3" max="3" width="38.42578125" customWidth="1"/>
    <col min="4" max="4" width="25.140625" customWidth="1"/>
    <col min="5" max="5" width="9.7109375" bestFit="1" customWidth="1"/>
    <col min="6" max="6" width="25.28515625" bestFit="1" customWidth="1"/>
    <col min="7" max="7" width="12.5703125" bestFit="1" customWidth="1"/>
    <col min="8" max="8" width="9.7109375" bestFit="1" customWidth="1"/>
    <col min="9" max="9" width="11.42578125" bestFit="1" customWidth="1"/>
    <col min="10" max="10" width="17.28515625" bestFit="1" customWidth="1"/>
    <col min="11" max="11" width="27.42578125" bestFit="1" customWidth="1"/>
  </cols>
  <sheetData>
    <row r="1" spans="1:11" ht="16.5" thickBot="1">
      <c r="A1" s="3" t="s">
        <v>130</v>
      </c>
      <c r="B1" s="8"/>
      <c r="C1" s="4"/>
      <c r="D1" s="4"/>
      <c r="E1" s="4"/>
      <c r="F1" s="4"/>
      <c r="G1" s="4"/>
      <c r="H1" s="4"/>
      <c r="I1" s="4"/>
      <c r="J1" s="4"/>
      <c r="K1" s="4"/>
    </row>
    <row r="2" spans="1:11" ht="15.75" thickBot="1">
      <c r="A2" s="1" t="s">
        <v>140</v>
      </c>
      <c r="B2" s="5" t="s">
        <v>5</v>
      </c>
      <c r="C2" s="5" t="s">
        <v>1</v>
      </c>
      <c r="D2" s="5" t="s">
        <v>0</v>
      </c>
      <c r="E2" s="5" t="s">
        <v>2</v>
      </c>
      <c r="F2" s="6" t="s">
        <v>3</v>
      </c>
      <c r="G2" s="5" t="s">
        <v>4</v>
      </c>
      <c r="H2" s="6" t="s">
        <v>131</v>
      </c>
      <c r="I2" s="5" t="s">
        <v>6</v>
      </c>
      <c r="J2" s="5" t="s">
        <v>7</v>
      </c>
      <c r="K2" s="6" t="s">
        <v>8</v>
      </c>
    </row>
    <row r="3" spans="1:11" ht="15.75" thickBot="1">
      <c r="A3" s="2">
        <v>1</v>
      </c>
      <c r="B3" s="21" t="s">
        <v>138</v>
      </c>
      <c r="C3" s="25" t="s">
        <v>10</v>
      </c>
      <c r="D3" s="17" t="s">
        <v>9</v>
      </c>
      <c r="E3" s="9" t="s">
        <v>11</v>
      </c>
      <c r="F3" s="9" t="s">
        <v>12</v>
      </c>
      <c r="G3" s="9" t="s">
        <v>13</v>
      </c>
      <c r="H3" s="9" t="s">
        <v>14</v>
      </c>
      <c r="I3" s="9">
        <v>1</v>
      </c>
      <c r="J3" s="9">
        <f>I3*5</f>
        <v>5</v>
      </c>
      <c r="K3" s="10">
        <v>7</v>
      </c>
    </row>
    <row r="4" spans="1:11" ht="15.75" thickBot="1">
      <c r="A4" s="2">
        <f>A3+1</f>
        <v>2</v>
      </c>
      <c r="B4" s="22"/>
      <c r="C4" s="26" t="s">
        <v>16</v>
      </c>
      <c r="D4" s="18" t="s">
        <v>15</v>
      </c>
      <c r="E4" s="7" t="s">
        <v>17</v>
      </c>
      <c r="F4" s="7" t="s">
        <v>18</v>
      </c>
      <c r="G4" s="7" t="s">
        <v>19</v>
      </c>
      <c r="H4" s="7" t="s">
        <v>20</v>
      </c>
      <c r="I4" s="7">
        <v>1</v>
      </c>
      <c r="J4" s="7">
        <f t="shared" ref="J4:J23" si="0">I4*5</f>
        <v>5</v>
      </c>
      <c r="K4" s="11">
        <v>7</v>
      </c>
    </row>
    <row r="5" spans="1:11" ht="15.75" thickBot="1">
      <c r="A5" s="2">
        <f t="shared" ref="A5:A25" si="1">A4+1</f>
        <v>3</v>
      </c>
      <c r="B5" s="22"/>
      <c r="C5" s="26" t="s">
        <v>22</v>
      </c>
      <c r="D5" s="18" t="s">
        <v>21</v>
      </c>
      <c r="E5" s="7" t="s">
        <v>23</v>
      </c>
      <c r="F5" s="7" t="s">
        <v>24</v>
      </c>
      <c r="G5" s="7" t="s">
        <v>25</v>
      </c>
      <c r="H5" s="7" t="s">
        <v>26</v>
      </c>
      <c r="I5" s="7">
        <v>1</v>
      </c>
      <c r="J5" s="7">
        <f t="shared" si="0"/>
        <v>5</v>
      </c>
      <c r="K5" s="11">
        <v>100</v>
      </c>
    </row>
    <row r="6" spans="1:11" ht="15.75" thickBot="1">
      <c r="A6" s="2">
        <f t="shared" si="1"/>
        <v>4</v>
      </c>
      <c r="B6" s="22"/>
      <c r="C6" s="26" t="s">
        <v>28</v>
      </c>
      <c r="D6" s="18" t="s">
        <v>27</v>
      </c>
      <c r="E6" s="7" t="s">
        <v>23</v>
      </c>
      <c r="F6" s="7" t="s">
        <v>29</v>
      </c>
      <c r="G6" s="7" t="s">
        <v>30</v>
      </c>
      <c r="H6" s="7" t="s">
        <v>31</v>
      </c>
      <c r="I6" s="7">
        <v>2</v>
      </c>
      <c r="J6" s="7">
        <f t="shared" si="0"/>
        <v>10</v>
      </c>
      <c r="K6" s="11">
        <v>100</v>
      </c>
    </row>
    <row r="7" spans="1:11" ht="15.75" thickBot="1">
      <c r="A7" s="2">
        <f t="shared" si="1"/>
        <v>5</v>
      </c>
      <c r="B7" s="23"/>
      <c r="C7" s="27" t="s">
        <v>33</v>
      </c>
      <c r="D7" s="19" t="s">
        <v>32</v>
      </c>
      <c r="E7" s="12" t="s">
        <v>23</v>
      </c>
      <c r="F7" s="12" t="s">
        <v>34</v>
      </c>
      <c r="G7" s="12" t="s">
        <v>35</v>
      </c>
      <c r="H7" s="12" t="s">
        <v>36</v>
      </c>
      <c r="I7" s="12">
        <v>1</v>
      </c>
      <c r="J7" s="12">
        <f t="shared" si="0"/>
        <v>5</v>
      </c>
      <c r="K7" s="13">
        <v>50</v>
      </c>
    </row>
    <row r="8" spans="1:11" ht="15.75" thickBot="1">
      <c r="A8" s="2">
        <f t="shared" si="1"/>
        <v>6</v>
      </c>
      <c r="B8" s="24" t="s">
        <v>132</v>
      </c>
      <c r="C8" s="28" t="s">
        <v>38</v>
      </c>
      <c r="D8" s="20" t="s">
        <v>37</v>
      </c>
      <c r="E8" s="15" t="s">
        <v>39</v>
      </c>
      <c r="F8" s="15" t="s">
        <v>40</v>
      </c>
      <c r="G8" s="15" t="s">
        <v>41</v>
      </c>
      <c r="H8" s="15" t="s">
        <v>42</v>
      </c>
      <c r="I8" s="15">
        <v>1</v>
      </c>
      <c r="J8" s="15">
        <f t="shared" si="0"/>
        <v>5</v>
      </c>
      <c r="K8" s="16">
        <v>10</v>
      </c>
    </row>
    <row r="9" spans="1:11" ht="15.75" thickBot="1">
      <c r="A9" s="14">
        <f t="shared" si="1"/>
        <v>7</v>
      </c>
      <c r="B9" s="21" t="s">
        <v>134</v>
      </c>
      <c r="C9" s="25" t="s">
        <v>50</v>
      </c>
      <c r="D9" s="17" t="s">
        <v>49</v>
      </c>
      <c r="E9" s="9" t="s">
        <v>17</v>
      </c>
      <c r="F9" s="9" t="s">
        <v>51</v>
      </c>
      <c r="G9" s="9" t="s">
        <v>52</v>
      </c>
      <c r="H9" s="9" t="s">
        <v>53</v>
      </c>
      <c r="I9" s="9">
        <v>1</v>
      </c>
      <c r="J9" s="9">
        <f t="shared" si="0"/>
        <v>5</v>
      </c>
      <c r="K9" s="10">
        <v>7</v>
      </c>
    </row>
    <row r="10" spans="1:11" ht="15.75" thickBot="1">
      <c r="A10" s="2">
        <f t="shared" si="1"/>
        <v>8</v>
      </c>
      <c r="B10" s="23"/>
      <c r="C10" s="27" t="s">
        <v>55</v>
      </c>
      <c r="D10" s="19" t="s">
        <v>54</v>
      </c>
      <c r="E10" s="12" t="s">
        <v>56</v>
      </c>
      <c r="F10" s="12" t="s">
        <v>57</v>
      </c>
      <c r="G10" s="12" t="s">
        <v>58</v>
      </c>
      <c r="H10" s="12" t="s">
        <v>48</v>
      </c>
      <c r="I10" s="12">
        <v>1</v>
      </c>
      <c r="J10" s="12">
        <f t="shared" si="0"/>
        <v>5</v>
      </c>
      <c r="K10" s="13">
        <v>50</v>
      </c>
    </row>
    <row r="11" spans="1:11" ht="15.75" thickBot="1">
      <c r="A11" s="2">
        <f t="shared" si="1"/>
        <v>9</v>
      </c>
      <c r="B11" s="24" t="s">
        <v>137</v>
      </c>
      <c r="C11" s="28" t="s">
        <v>65</v>
      </c>
      <c r="D11" s="20" t="s">
        <v>64</v>
      </c>
      <c r="E11" s="15" t="s">
        <v>66</v>
      </c>
      <c r="F11" s="15" t="s">
        <v>67</v>
      </c>
      <c r="G11" s="15" t="s">
        <v>68</v>
      </c>
      <c r="H11" s="15"/>
      <c r="I11" s="15">
        <v>4</v>
      </c>
      <c r="J11" s="15">
        <f t="shared" si="0"/>
        <v>20</v>
      </c>
      <c r="K11" s="16">
        <v>22</v>
      </c>
    </row>
    <row r="12" spans="1:11" ht="15.75" thickBot="1">
      <c r="A12" s="2">
        <f t="shared" si="1"/>
        <v>10</v>
      </c>
      <c r="B12" s="21" t="s">
        <v>135</v>
      </c>
      <c r="C12" s="25" t="s">
        <v>70</v>
      </c>
      <c r="D12" s="17" t="s">
        <v>69</v>
      </c>
      <c r="E12" s="9" t="s">
        <v>71</v>
      </c>
      <c r="F12" s="9" t="s">
        <v>72</v>
      </c>
      <c r="G12" s="9" t="s">
        <v>73</v>
      </c>
      <c r="H12" s="9" t="s">
        <v>74</v>
      </c>
      <c r="I12" s="9">
        <v>1</v>
      </c>
      <c r="J12" s="9">
        <f t="shared" si="0"/>
        <v>5</v>
      </c>
      <c r="K12" s="10">
        <v>50</v>
      </c>
    </row>
    <row r="13" spans="1:11" ht="15.75" thickBot="1">
      <c r="A13" s="2">
        <f t="shared" si="1"/>
        <v>11</v>
      </c>
      <c r="B13" s="22"/>
      <c r="C13" s="26" t="s">
        <v>76</v>
      </c>
      <c r="D13" s="18" t="s">
        <v>75</v>
      </c>
      <c r="E13" s="7" t="s">
        <v>71</v>
      </c>
      <c r="F13" s="7" t="s">
        <v>77</v>
      </c>
      <c r="G13" s="7" t="s">
        <v>78</v>
      </c>
      <c r="H13" s="7" t="s">
        <v>79</v>
      </c>
      <c r="I13" s="7">
        <v>1</v>
      </c>
      <c r="J13" s="7">
        <f t="shared" si="0"/>
        <v>5</v>
      </c>
      <c r="K13" s="11">
        <v>100</v>
      </c>
    </row>
    <row r="14" spans="1:11" ht="15.75" thickBot="1">
      <c r="A14" s="2">
        <f t="shared" si="1"/>
        <v>12</v>
      </c>
      <c r="B14" s="22"/>
      <c r="C14" s="26" t="s">
        <v>81</v>
      </c>
      <c r="D14" s="18" t="s">
        <v>80</v>
      </c>
      <c r="E14" s="7" t="s">
        <v>82</v>
      </c>
      <c r="F14" s="7" t="s">
        <v>83</v>
      </c>
      <c r="G14" s="7" t="s">
        <v>84</v>
      </c>
      <c r="H14" s="7" t="s">
        <v>85</v>
      </c>
      <c r="I14" s="7">
        <v>4</v>
      </c>
      <c r="J14" s="7">
        <f t="shared" si="0"/>
        <v>20</v>
      </c>
      <c r="K14" s="11">
        <v>100</v>
      </c>
    </row>
    <row r="15" spans="1:11" ht="15.75" thickBot="1">
      <c r="A15" s="2">
        <f t="shared" si="1"/>
        <v>13</v>
      </c>
      <c r="B15" s="22"/>
      <c r="C15" s="26" t="s">
        <v>87</v>
      </c>
      <c r="D15" s="18" t="s">
        <v>86</v>
      </c>
      <c r="E15" s="7" t="s">
        <v>71</v>
      </c>
      <c r="F15" s="7" t="s">
        <v>88</v>
      </c>
      <c r="G15" s="7" t="s">
        <v>89</v>
      </c>
      <c r="H15" s="7" t="s">
        <v>90</v>
      </c>
      <c r="I15" s="7">
        <v>5</v>
      </c>
      <c r="J15" s="7">
        <f t="shared" si="0"/>
        <v>25</v>
      </c>
      <c r="K15" s="11">
        <v>100</v>
      </c>
    </row>
    <row r="16" spans="1:11" ht="15.75" thickBot="1">
      <c r="A16" s="2">
        <f t="shared" si="1"/>
        <v>14</v>
      </c>
      <c r="B16" s="22"/>
      <c r="C16" s="26" t="s">
        <v>92</v>
      </c>
      <c r="D16" s="18" t="s">
        <v>91</v>
      </c>
      <c r="E16" s="7" t="s">
        <v>71</v>
      </c>
      <c r="F16" s="7" t="s">
        <v>93</v>
      </c>
      <c r="G16" s="7" t="s">
        <v>94</v>
      </c>
      <c r="H16" s="7" t="s">
        <v>95</v>
      </c>
      <c r="I16" s="7">
        <v>5</v>
      </c>
      <c r="J16" s="7">
        <f t="shared" si="0"/>
        <v>25</v>
      </c>
      <c r="K16" s="11">
        <v>50</v>
      </c>
    </row>
    <row r="17" spans="1:11" ht="15.75" thickBot="1">
      <c r="A17" s="2">
        <f t="shared" si="1"/>
        <v>15</v>
      </c>
      <c r="B17" s="22"/>
      <c r="C17" s="26" t="s">
        <v>97</v>
      </c>
      <c r="D17" s="18" t="s">
        <v>96</v>
      </c>
      <c r="E17" s="7" t="s">
        <v>71</v>
      </c>
      <c r="F17" s="7" t="s">
        <v>98</v>
      </c>
      <c r="G17" s="7" t="s">
        <v>99</v>
      </c>
      <c r="H17" s="7" t="s">
        <v>100</v>
      </c>
      <c r="I17" s="7">
        <v>1</v>
      </c>
      <c r="J17" s="7">
        <f t="shared" si="0"/>
        <v>5</v>
      </c>
      <c r="K17" s="11">
        <v>100</v>
      </c>
    </row>
    <row r="18" spans="1:11" ht="15.75" thickBot="1">
      <c r="A18" s="2">
        <f t="shared" si="1"/>
        <v>16</v>
      </c>
      <c r="B18" s="23"/>
      <c r="C18" s="27" t="s">
        <v>102</v>
      </c>
      <c r="D18" s="19" t="s">
        <v>101</v>
      </c>
      <c r="E18" s="12" t="s">
        <v>71</v>
      </c>
      <c r="F18" s="12" t="s">
        <v>103</v>
      </c>
      <c r="G18" s="12" t="s">
        <v>104</v>
      </c>
      <c r="H18" s="12" t="s">
        <v>105</v>
      </c>
      <c r="I18" s="12">
        <v>1</v>
      </c>
      <c r="J18" s="12">
        <f t="shared" si="0"/>
        <v>5</v>
      </c>
      <c r="K18" s="13">
        <v>100</v>
      </c>
    </row>
    <row r="19" spans="1:11" ht="15.75" thickBot="1">
      <c r="A19" s="2">
        <f t="shared" si="1"/>
        <v>17</v>
      </c>
      <c r="B19" s="24" t="s">
        <v>136</v>
      </c>
      <c r="C19" s="28" t="s">
        <v>107</v>
      </c>
      <c r="D19" s="20" t="s">
        <v>106</v>
      </c>
      <c r="E19" s="15" t="s">
        <v>17</v>
      </c>
      <c r="F19" s="15" t="s">
        <v>108</v>
      </c>
      <c r="G19" s="15" t="s">
        <v>109</v>
      </c>
      <c r="H19" s="15" t="s">
        <v>42</v>
      </c>
      <c r="I19" s="15">
        <v>1</v>
      </c>
      <c r="J19" s="15">
        <f t="shared" si="0"/>
        <v>5</v>
      </c>
      <c r="K19" s="16">
        <v>10</v>
      </c>
    </row>
    <row r="20" spans="1:11" ht="15.75" thickBot="1">
      <c r="A20" s="14">
        <f t="shared" si="1"/>
        <v>18</v>
      </c>
      <c r="B20" s="21" t="s">
        <v>139</v>
      </c>
      <c r="C20" s="25" t="s">
        <v>111</v>
      </c>
      <c r="D20" s="17" t="s">
        <v>110</v>
      </c>
      <c r="E20" s="9" t="s">
        <v>112</v>
      </c>
      <c r="F20" s="9" t="s">
        <v>113</v>
      </c>
      <c r="G20" s="9" t="s">
        <v>114</v>
      </c>
      <c r="H20" s="9" t="s">
        <v>42</v>
      </c>
      <c r="I20" s="9">
        <v>1</v>
      </c>
      <c r="J20" s="9">
        <f t="shared" si="0"/>
        <v>5</v>
      </c>
      <c r="K20" s="10">
        <v>7</v>
      </c>
    </row>
    <row r="21" spans="1:11" ht="15.75" thickBot="1">
      <c r="A21" s="2">
        <f t="shared" si="1"/>
        <v>19</v>
      </c>
      <c r="B21" s="22"/>
      <c r="C21" s="26" t="s">
        <v>116</v>
      </c>
      <c r="D21" s="18" t="s">
        <v>115</v>
      </c>
      <c r="E21" s="7" t="s">
        <v>117</v>
      </c>
      <c r="F21" s="7" t="s">
        <v>118</v>
      </c>
      <c r="G21" s="7" t="s">
        <v>119</v>
      </c>
      <c r="H21" s="7" t="s">
        <v>42</v>
      </c>
      <c r="I21" s="7">
        <v>1</v>
      </c>
      <c r="J21" s="7">
        <f t="shared" si="0"/>
        <v>5</v>
      </c>
      <c r="K21" s="11">
        <v>7</v>
      </c>
    </row>
    <row r="22" spans="1:11" ht="15.75" thickBot="1">
      <c r="A22" s="2">
        <f t="shared" si="1"/>
        <v>20</v>
      </c>
      <c r="B22" s="22"/>
      <c r="C22" s="26" t="s">
        <v>121</v>
      </c>
      <c r="D22" s="18" t="s">
        <v>120</v>
      </c>
      <c r="E22" s="7" t="s">
        <v>122</v>
      </c>
      <c r="F22" s="7" t="s">
        <v>123</v>
      </c>
      <c r="G22" s="7" t="s">
        <v>124</v>
      </c>
      <c r="H22" s="7" t="s">
        <v>42</v>
      </c>
      <c r="I22" s="7">
        <v>1</v>
      </c>
      <c r="J22" s="7">
        <f t="shared" si="0"/>
        <v>5</v>
      </c>
      <c r="K22" s="11">
        <v>7</v>
      </c>
    </row>
    <row r="23" spans="1:11" ht="15.75" thickBot="1">
      <c r="A23" s="2">
        <f t="shared" si="1"/>
        <v>21</v>
      </c>
      <c r="B23" s="23"/>
      <c r="C23" s="27" t="s">
        <v>126</v>
      </c>
      <c r="D23" s="19" t="s">
        <v>125</v>
      </c>
      <c r="E23" s="12" t="s">
        <v>127</v>
      </c>
      <c r="F23" s="12" t="s">
        <v>128</v>
      </c>
      <c r="G23" s="12" t="s">
        <v>129</v>
      </c>
      <c r="H23" s="12" t="s">
        <v>42</v>
      </c>
      <c r="I23" s="12">
        <v>1</v>
      </c>
      <c r="J23" s="12">
        <f t="shared" si="0"/>
        <v>5</v>
      </c>
      <c r="K23" s="13">
        <v>7</v>
      </c>
    </row>
    <row r="24" spans="1:11" ht="15.75" thickBot="1">
      <c r="A24" s="2">
        <f t="shared" si="1"/>
        <v>22</v>
      </c>
      <c r="B24" s="21" t="s">
        <v>133</v>
      </c>
      <c r="C24" s="25" t="s">
        <v>44</v>
      </c>
      <c r="D24" s="17" t="s">
        <v>43</v>
      </c>
      <c r="E24" s="9" t="s">
        <v>45</v>
      </c>
      <c r="F24" s="9" t="s">
        <v>46</v>
      </c>
      <c r="G24" s="9" t="s">
        <v>47</v>
      </c>
      <c r="H24" s="9" t="s">
        <v>48</v>
      </c>
      <c r="I24" s="9">
        <v>1</v>
      </c>
      <c r="J24" s="9">
        <f>I24*5</f>
        <v>5</v>
      </c>
      <c r="K24" s="10">
        <v>20</v>
      </c>
    </row>
    <row r="25" spans="1:11" ht="15.75" thickBot="1">
      <c r="A25" s="2">
        <f t="shared" si="1"/>
        <v>23</v>
      </c>
      <c r="B25" s="23"/>
      <c r="C25" s="27" t="s">
        <v>60</v>
      </c>
      <c r="D25" s="19" t="s">
        <v>59</v>
      </c>
      <c r="E25" s="12" t="s">
        <v>61</v>
      </c>
      <c r="F25" s="12" t="s">
        <v>62</v>
      </c>
      <c r="G25" s="12" t="s">
        <v>63</v>
      </c>
      <c r="H25" s="12" t="s">
        <v>48</v>
      </c>
      <c r="I25" s="12">
        <v>10</v>
      </c>
      <c r="J25" s="12">
        <f>I25*5</f>
        <v>50</v>
      </c>
      <c r="K25" s="13">
        <v>100</v>
      </c>
    </row>
  </sheetData>
  <mergeCells count="6">
    <mergeCell ref="A1:K1"/>
    <mergeCell ref="B3:B7"/>
    <mergeCell ref="B9:B10"/>
    <mergeCell ref="B24:B25"/>
    <mergeCell ref="B20:B23"/>
    <mergeCell ref="B12:B18"/>
  </mergeCells>
  <conditionalFormatting sqref="I3:I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DANISH TRADERS</cp:lastModifiedBy>
  <dcterms:created xsi:type="dcterms:W3CDTF">2022-05-30T10:21:44Z</dcterms:created>
  <dcterms:modified xsi:type="dcterms:W3CDTF">2022-05-30T10:41:04Z</dcterms:modified>
</cp:coreProperties>
</file>