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64011"/>
  <mc:AlternateContent xmlns:mc="http://schemas.openxmlformats.org/markup-compatibility/2006">
    <mc:Choice Requires="x15">
      <x15ac:absPath xmlns:x15ac="http://schemas.microsoft.com/office/spreadsheetml/2010/11/ac" url="E:\flst\Deliverables\BOM\"/>
    </mc:Choice>
  </mc:AlternateContent>
  <bookViews>
    <workbookView xWindow="0" yWindow="0" windowWidth="20490" windowHeight="7020"/>
  </bookViews>
  <sheets>
    <sheet name="Sheet1" sheetId="1" r:id="rId1"/>
  </sheet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A4" i="1" l="1"/>
  <c r="A5" i="1" s="1"/>
  <c r="A6" i="1" s="1"/>
  <c r="A7" i="1" s="1"/>
  <c r="A8" i="1" s="1"/>
  <c r="A9" i="1" s="1"/>
  <c r="A10" i="1" s="1"/>
  <c r="A11" i="1" s="1"/>
  <c r="A12" i="1" s="1"/>
  <c r="A13" i="1" s="1"/>
  <c r="A14" i="1" s="1"/>
  <c r="A15" i="1" s="1"/>
  <c r="A16" i="1" s="1"/>
  <c r="A17" i="1" s="1"/>
  <c r="A18" i="1" s="1"/>
  <c r="A19" i="1" s="1"/>
  <c r="A20" i="1" s="1"/>
  <c r="A21" i="1" s="1"/>
  <c r="A22" i="1" s="1"/>
  <c r="A23" i="1" s="1"/>
  <c r="A24" i="1" s="1"/>
  <c r="A25" i="1" s="1"/>
</calcChain>
</file>

<file path=xl/sharedStrings.xml><?xml version="1.0" encoding="utf-8"?>
<sst xmlns="http://schemas.openxmlformats.org/spreadsheetml/2006/main" count="147" uniqueCount="131">
  <si>
    <t>Designator</t>
  </si>
  <si>
    <t>Description</t>
  </si>
  <si>
    <t>Footprint</t>
  </si>
  <si>
    <t>Manufacturer Part Number</t>
  </si>
  <si>
    <t>LCSC/Part No</t>
  </si>
  <si>
    <t>Quantity</t>
  </si>
  <si>
    <t>LCSC/MOQ/5 Boards</t>
  </si>
  <si>
    <t>C1</t>
  </si>
  <si>
    <t>CAP TANT 100UF 20% 25V 2917</t>
  </si>
  <si>
    <t>CAP- 2917</t>
  </si>
  <si>
    <t>TAJE107M025RNJ</t>
  </si>
  <si>
    <t>C7230</t>
  </si>
  <si>
    <t>100uF</t>
  </si>
  <si>
    <t>C2</t>
  </si>
  <si>
    <t>470uF ±20% 50V 12.5mm 13.5mm 1000hrs 105℃ -40℃~+105℃ SMD,12.5x13.5mm Aluminum Electrolytic Capacitors - SMD RoHS</t>
  </si>
  <si>
    <t>Custom</t>
  </si>
  <si>
    <t>VKMD1001J101MV</t>
  </si>
  <si>
    <t>C191227</t>
  </si>
  <si>
    <t>470uF</t>
  </si>
  <si>
    <t>C3</t>
  </si>
  <si>
    <t>CAP CER 470pF 10% X7R 50V 0603 SMD</t>
  </si>
  <si>
    <t>Cap0603</t>
  </si>
  <si>
    <t>CC0603KRX7R9BB471</t>
  </si>
  <si>
    <t>C107092</t>
  </si>
  <si>
    <t>470pF</t>
  </si>
  <si>
    <t>C4, C6</t>
  </si>
  <si>
    <t>CAP CER 0.1UF 50V Y5V 0603</t>
  </si>
  <si>
    <t>CC0603ZRY5V9BB104</t>
  </si>
  <si>
    <t>C106221</t>
  </si>
  <si>
    <t>0.1uF</t>
  </si>
  <si>
    <t>C5</t>
  </si>
  <si>
    <t>CAP CER 1UF 25V X5R 0603</t>
  </si>
  <si>
    <t>CC0603KRX5R8BB105</t>
  </si>
  <si>
    <t>C14664</t>
  </si>
  <si>
    <t>1uF</t>
  </si>
  <si>
    <t>D1</t>
  </si>
  <si>
    <t>40V 500mV@2A 2A SMA(DO-214AC) Schottky Barrier Diodes (SBD) ROHS</t>
  </si>
  <si>
    <t>SMA</t>
  </si>
  <si>
    <t>SS24A</t>
  </si>
  <si>
    <t>C211773</t>
  </si>
  <si>
    <t>--------</t>
  </si>
  <si>
    <t>J1</t>
  </si>
  <si>
    <t>Pin Header 5 1 right-angle</t>
  </si>
  <si>
    <t>HDR1X5</t>
  </si>
  <si>
    <t>PZ254V-11-05P</t>
  </si>
  <si>
    <t>C492404</t>
  </si>
  <si>
    <t>-------</t>
  </si>
  <si>
    <t>L1</t>
  </si>
  <si>
    <t>Inductor Power Shielded Wirewound 220uH 20% 1KHz Ferrite 1.3A 310mOhm DCR Blister T/R</t>
  </si>
  <si>
    <t>SLF12575T-221M1R3-PF</t>
  </si>
  <si>
    <t>C93225</t>
  </si>
  <si>
    <t>220uH</t>
  </si>
  <si>
    <t>L2</t>
  </si>
  <si>
    <t>FERRITE BEAD 600 OHM 0201 1LN</t>
  </si>
  <si>
    <t>IND 0201</t>
  </si>
  <si>
    <t>MMZ0603S601CT000</t>
  </si>
  <si>
    <t>C275404</t>
  </si>
  <si>
    <t>P1, P2, P3, P4, P5, P6, P7, P8, P9, P10</t>
  </si>
  <si>
    <t>CONN HEADER VERT 2POS 2.54MM</t>
  </si>
  <si>
    <t>HDR1X2</t>
  </si>
  <si>
    <t>210-91-02GB01</t>
  </si>
  <si>
    <t>C390678</t>
  </si>
  <si>
    <t>Q1, Q2, Q3, Q4</t>
  </si>
  <si>
    <t>MOSFET N-CH 130V 1A SOT23</t>
  </si>
  <si>
    <t>SOT23-3</t>
  </si>
  <si>
    <t>DMN13H750S-7</t>
  </si>
  <si>
    <t>C156273</t>
  </si>
  <si>
    <t>R1</t>
  </si>
  <si>
    <t>0.33Ω 0603 Chip Resistor - Surface Mount ROHS</t>
  </si>
  <si>
    <t>RES-0603</t>
  </si>
  <si>
    <t>RTT03R330FTP</t>
  </si>
  <si>
    <t>C103893</t>
  </si>
  <si>
    <t>0.33R</t>
  </si>
  <si>
    <t>R2</t>
  </si>
  <si>
    <t>RES SMD 4.7K OHM 1% 1/10W 0603</t>
  </si>
  <si>
    <t>RC0603FR-074K7L</t>
  </si>
  <si>
    <t>C99782</t>
  </si>
  <si>
    <t>4.7K</t>
  </si>
  <si>
    <t>R3, R8, R14, R15</t>
  </si>
  <si>
    <t>RES SMD 10K OHM 1% 1/20W 0201</t>
  </si>
  <si>
    <t>Res-0201</t>
  </si>
  <si>
    <t>RC0201FR-0710KL</t>
  </si>
  <si>
    <t>C106225</t>
  </si>
  <si>
    <t>10K</t>
  </si>
  <si>
    <t>R4, R5, R6, R7, R9</t>
  </si>
  <si>
    <t>RES SMD 3.3K OHM 1% 1/10W 0603</t>
  </si>
  <si>
    <t>RC0603FR-073K3L</t>
  </si>
  <si>
    <t>C108078</t>
  </si>
  <si>
    <t>3.3K</t>
  </si>
  <si>
    <t>R10, R11, R12, R13, R16</t>
  </si>
  <si>
    <t>RES SMD 200 OHM 0.5% 1/10W 0603</t>
  </si>
  <si>
    <t>RT0603DRD07200RL</t>
  </si>
  <si>
    <t>C700498</t>
  </si>
  <si>
    <t>200R</t>
  </si>
  <si>
    <t>RF1</t>
  </si>
  <si>
    <t>RES SMD 2K OHM 1% 1/10W 0603</t>
  </si>
  <si>
    <t>RC0603FR-072KL</t>
  </si>
  <si>
    <t>C105576</t>
  </si>
  <si>
    <t>2K</t>
  </si>
  <si>
    <t>RF2</t>
  </si>
  <si>
    <t>±1% 1/10W Thick Film Resistors 75V ±100ppm/℃ -55℃~+155℃ 1.2kΩ 0603 Chip Resistor - Surface Mount ROHS</t>
  </si>
  <si>
    <t>0603WAF1201T5E</t>
  </si>
  <si>
    <t>C22765</t>
  </si>
  <si>
    <t>1.2K</t>
  </si>
  <si>
    <t>SW1</t>
  </si>
  <si>
    <t>3mm 2mm Round Button 50mA Top3.65mm SPST 12V SMD Tactile Switches</t>
  </si>
  <si>
    <t>TS-1185EC-C-D-B</t>
  </si>
  <si>
    <t>C318893</t>
  </si>
  <si>
    <t>U1</t>
  </si>
  <si>
    <t>1.5-A boost, buck, inverting switching regulator, operation from 0°C to 70°C 8-SOIC 0 to 70</t>
  </si>
  <si>
    <t>SOIC-8</t>
  </si>
  <si>
    <t>MC34063ADR</t>
  </si>
  <si>
    <t>C100023</t>
  </si>
  <si>
    <t>U2</t>
  </si>
  <si>
    <t>IC MCU 8BIT 16KB FLASH 20VQFN</t>
  </si>
  <si>
    <t>20-QFN</t>
  </si>
  <si>
    <t>ATTINY1616-MNR</t>
  </si>
  <si>
    <t>C507118</t>
  </si>
  <si>
    <t>U3</t>
  </si>
  <si>
    <t>OPTOISO 3.75KV 4CH TRANS 16SO</t>
  </si>
  <si>
    <t>16SO</t>
  </si>
  <si>
    <t>LTV-247</t>
  </si>
  <si>
    <t>C115451</t>
  </si>
  <si>
    <t>U4</t>
  </si>
  <si>
    <t>TransistorOptocouplers DC 1 2500Vrms SOP-4_P1.27 Optocouplers RoHS</t>
  </si>
  <si>
    <t>SOP-4</t>
  </si>
  <si>
    <t>PS2801C-1-F3-A</t>
  </si>
  <si>
    <t>C67112</t>
  </si>
  <si>
    <t>Bill of Material (BOM) for Oliver</t>
  </si>
  <si>
    <t>Value</t>
  </si>
  <si>
    <t>S:No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</si>
</sst>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4">
    <font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b/>
      <sz val="12"/>
      <color theme="0"/>
      <name val="Calibri"/>
      <family val="2"/>
      <scheme val="minor"/>
    </font>
    <font>
      <b/>
      <sz val="12"/>
      <color theme="0"/>
      <name val="Calibri"/>
      <charset val="134"/>
      <scheme val="minor"/>
    </font>
  </fonts>
  <fills count="3">
    <fill>
      <patternFill patternType="none"/>
    </fill>
    <fill>
      <patternFill patternType="gray125"/>
    </fill>
    <fill>
      <patternFill patternType="solid">
        <fgColor theme="1" tint="0.499984740745262"/>
        <bgColor indexed="64"/>
      </patternFill>
    </fill>
  </fills>
  <borders count="19">
    <border>
      <left/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24">
    <xf numFmtId="0" fontId="0" fillId="0" borderId="0" xfId="0"/>
    <xf numFmtId="0" fontId="1" fillId="2" borderId="1" xfId="0" applyFont="1" applyFill="1" applyBorder="1" applyAlignment="1">
      <alignment horizontal="center" vertical="center"/>
    </xf>
    <xf numFmtId="0" fontId="1" fillId="2" borderId="4" xfId="0" applyFont="1" applyFill="1" applyBorder="1" applyAlignment="1">
      <alignment horizontal="center" vertical="center"/>
    </xf>
    <xf numFmtId="0" fontId="1" fillId="2" borderId="6" xfId="0" applyFont="1" applyFill="1" applyBorder="1" applyAlignment="1">
      <alignment horizontal="center" vertical="center"/>
    </xf>
    <xf numFmtId="0" fontId="1" fillId="2" borderId="7" xfId="0" applyFont="1" applyFill="1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0" fontId="0" fillId="0" borderId="8" xfId="0" applyBorder="1" applyAlignment="1">
      <alignment horizontal="center" vertical="center"/>
    </xf>
    <xf numFmtId="0" fontId="0" fillId="0" borderId="9" xfId="0" applyBorder="1" applyAlignment="1">
      <alignment horizontal="center" vertical="center"/>
    </xf>
    <xf numFmtId="0" fontId="0" fillId="0" borderId="10" xfId="0" applyBorder="1" applyAlignment="1">
      <alignment horizontal="center" vertical="center"/>
    </xf>
    <xf numFmtId="0" fontId="0" fillId="0" borderId="11" xfId="0" applyBorder="1" applyAlignment="1">
      <alignment horizontal="center" vertical="center"/>
    </xf>
    <xf numFmtId="0" fontId="0" fillId="0" borderId="12" xfId="0" applyBorder="1" applyAlignment="1">
      <alignment horizontal="center" vertical="center"/>
    </xf>
    <xf numFmtId="0" fontId="1" fillId="2" borderId="3" xfId="0" applyFont="1" applyFill="1" applyBorder="1" applyAlignment="1">
      <alignment horizontal="center" vertical="center"/>
    </xf>
    <xf numFmtId="0" fontId="0" fillId="0" borderId="13" xfId="0" applyBorder="1" applyAlignment="1">
      <alignment horizontal="center" vertical="center"/>
    </xf>
    <xf numFmtId="0" fontId="0" fillId="0" borderId="14" xfId="0" applyBorder="1" applyAlignment="1">
      <alignment horizontal="center" vertical="center"/>
    </xf>
    <xf numFmtId="0" fontId="0" fillId="0" borderId="15" xfId="0" applyBorder="1" applyAlignment="1">
      <alignment horizontal="center" vertical="center"/>
    </xf>
    <xf numFmtId="0" fontId="0" fillId="0" borderId="16" xfId="0" applyBorder="1" applyAlignment="1">
      <alignment horizontal="center" vertical="center"/>
    </xf>
    <xf numFmtId="0" fontId="0" fillId="0" borderId="17" xfId="0" applyBorder="1" applyAlignment="1">
      <alignment horizontal="center" vertical="center"/>
    </xf>
    <xf numFmtId="0" fontId="0" fillId="0" borderId="18" xfId="0" applyBorder="1" applyAlignment="1">
      <alignment horizontal="center" vertical="center"/>
    </xf>
    <xf numFmtId="0" fontId="0" fillId="0" borderId="8" xfId="0" applyBorder="1" applyAlignment="1">
      <alignment horizontal="left" vertical="center"/>
    </xf>
    <xf numFmtId="0" fontId="0" fillId="0" borderId="5" xfId="0" applyBorder="1" applyAlignment="1">
      <alignment horizontal="left" vertical="center"/>
    </xf>
    <xf numFmtId="0" fontId="0" fillId="0" borderId="11" xfId="0" applyBorder="1" applyAlignment="1">
      <alignment horizontal="left" vertical="center"/>
    </xf>
    <xf numFmtId="0" fontId="0" fillId="0" borderId="13" xfId="0" applyBorder="1" applyAlignment="1">
      <alignment horizontal="left" vertical="center"/>
    </xf>
    <xf numFmtId="0" fontId="2" fillId="2" borderId="4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I25"/>
  <sheetViews>
    <sheetView tabSelected="1" zoomScale="70" zoomScaleNormal="70" workbookViewId="0">
      <selection activeCell="P19" sqref="P19"/>
    </sheetView>
  </sheetViews>
  <sheetFormatPr defaultRowHeight="15"/>
  <cols>
    <col min="1" max="1" width="5.7109375" bestFit="1" customWidth="1"/>
    <col min="2" max="2" width="38.42578125" customWidth="1"/>
    <col min="3" max="3" width="25.140625" customWidth="1"/>
    <col min="4" max="4" width="9.7109375" bestFit="1" customWidth="1"/>
    <col min="5" max="5" width="25.28515625" bestFit="1" customWidth="1"/>
    <col min="6" max="6" width="17.42578125" bestFit="1" customWidth="1"/>
    <col min="7" max="7" width="9.7109375" bestFit="1" customWidth="1"/>
    <col min="8" max="8" width="12" bestFit="1" customWidth="1"/>
    <col min="9" max="9" width="28.7109375" bestFit="1" customWidth="1"/>
  </cols>
  <sheetData>
    <row r="1" spans="1:9" ht="16.5" thickBot="1">
      <c r="A1" s="22" t="s">
        <v>128</v>
      </c>
      <c r="B1" s="23"/>
      <c r="C1" s="23"/>
      <c r="D1" s="23"/>
      <c r="E1" s="23"/>
      <c r="F1" s="23"/>
      <c r="G1" s="23"/>
      <c r="H1" s="23"/>
      <c r="I1" s="23"/>
    </row>
    <row r="2" spans="1:9" ht="15.75" thickBot="1">
      <c r="A2" s="1" t="s">
        <v>130</v>
      </c>
      <c r="B2" s="3" t="s">
        <v>1</v>
      </c>
      <c r="C2" s="3" t="s">
        <v>0</v>
      </c>
      <c r="D2" s="3" t="s">
        <v>2</v>
      </c>
      <c r="E2" s="4" t="s">
        <v>3</v>
      </c>
      <c r="F2" s="3" t="s">
        <v>4</v>
      </c>
      <c r="G2" s="4" t="s">
        <v>129</v>
      </c>
      <c r="H2" s="3" t="s">
        <v>5</v>
      </c>
      <c r="I2" s="4" t="s">
        <v>6</v>
      </c>
    </row>
    <row r="3" spans="1:9" ht="15.75" thickBot="1">
      <c r="A3" s="2">
        <v>1</v>
      </c>
      <c r="B3" s="18" t="s">
        <v>8</v>
      </c>
      <c r="C3" s="14" t="s">
        <v>7</v>
      </c>
      <c r="D3" s="6" t="s">
        <v>9</v>
      </c>
      <c r="E3" s="6" t="s">
        <v>10</v>
      </c>
      <c r="F3" s="6" t="s">
        <v>11</v>
      </c>
      <c r="G3" s="6" t="s">
        <v>12</v>
      </c>
      <c r="H3" s="6">
        <v>1</v>
      </c>
      <c r="I3" s="7">
        <v>7</v>
      </c>
    </row>
    <row r="4" spans="1:9" ht="15.75" thickBot="1">
      <c r="A4" s="2">
        <f>A3+1</f>
        <v>2</v>
      </c>
      <c r="B4" s="19" t="s">
        <v>14</v>
      </c>
      <c r="C4" s="15" t="s">
        <v>13</v>
      </c>
      <c r="D4" s="5" t="s">
        <v>15</v>
      </c>
      <c r="E4" s="5" t="s">
        <v>16</v>
      </c>
      <c r="F4" s="5" t="s">
        <v>17</v>
      </c>
      <c r="G4" s="5" t="s">
        <v>18</v>
      </c>
      <c r="H4" s="5">
        <v>1</v>
      </c>
      <c r="I4" s="8">
        <v>7</v>
      </c>
    </row>
    <row r="5" spans="1:9" ht="15.75" thickBot="1">
      <c r="A5" s="2">
        <f t="shared" ref="A5:A25" si="0">A4+1</f>
        <v>3</v>
      </c>
      <c r="B5" s="19" t="s">
        <v>20</v>
      </c>
      <c r="C5" s="15" t="s">
        <v>19</v>
      </c>
      <c r="D5" s="5" t="s">
        <v>21</v>
      </c>
      <c r="E5" s="5" t="s">
        <v>22</v>
      </c>
      <c r="F5" s="5" t="s">
        <v>23</v>
      </c>
      <c r="G5" s="5" t="s">
        <v>24</v>
      </c>
      <c r="H5" s="5">
        <v>1</v>
      </c>
      <c r="I5" s="8">
        <v>100</v>
      </c>
    </row>
    <row r="6" spans="1:9" ht="15.75" thickBot="1">
      <c r="A6" s="2">
        <f t="shared" si="0"/>
        <v>4</v>
      </c>
      <c r="B6" s="19" t="s">
        <v>26</v>
      </c>
      <c r="C6" s="15" t="s">
        <v>25</v>
      </c>
      <c r="D6" s="5" t="s">
        <v>21</v>
      </c>
      <c r="E6" s="5" t="s">
        <v>27</v>
      </c>
      <c r="F6" s="5" t="s">
        <v>28</v>
      </c>
      <c r="G6" s="5" t="s">
        <v>29</v>
      </c>
      <c r="H6" s="5">
        <v>2</v>
      </c>
      <c r="I6" s="8">
        <v>100</v>
      </c>
    </row>
    <row r="7" spans="1:9" ht="15.75" thickBot="1">
      <c r="A7" s="2">
        <f t="shared" si="0"/>
        <v>5</v>
      </c>
      <c r="B7" s="20" t="s">
        <v>31</v>
      </c>
      <c r="C7" s="16" t="s">
        <v>30</v>
      </c>
      <c r="D7" s="9" t="s">
        <v>21</v>
      </c>
      <c r="E7" s="9" t="s">
        <v>32</v>
      </c>
      <c r="F7" s="9" t="s">
        <v>33</v>
      </c>
      <c r="G7" s="9" t="s">
        <v>34</v>
      </c>
      <c r="H7" s="9">
        <v>1</v>
      </c>
      <c r="I7" s="10">
        <v>50</v>
      </c>
    </row>
    <row r="8" spans="1:9" ht="15.75" thickBot="1">
      <c r="A8" s="2">
        <f t="shared" si="0"/>
        <v>6</v>
      </c>
      <c r="B8" s="21" t="s">
        <v>36</v>
      </c>
      <c r="C8" s="17" t="s">
        <v>35</v>
      </c>
      <c r="D8" s="12" t="s">
        <v>37</v>
      </c>
      <c r="E8" s="12" t="s">
        <v>38</v>
      </c>
      <c r="F8" s="12" t="s">
        <v>39</v>
      </c>
      <c r="G8" s="12" t="s">
        <v>40</v>
      </c>
      <c r="H8" s="12">
        <v>1</v>
      </c>
      <c r="I8" s="13">
        <v>10</v>
      </c>
    </row>
    <row r="9" spans="1:9" ht="15.75" thickBot="1">
      <c r="A9" s="11">
        <f t="shared" si="0"/>
        <v>7</v>
      </c>
      <c r="B9" s="18" t="s">
        <v>48</v>
      </c>
      <c r="C9" s="14" t="s">
        <v>47</v>
      </c>
      <c r="D9" s="6" t="s">
        <v>15</v>
      </c>
      <c r="E9" s="6" t="s">
        <v>49</v>
      </c>
      <c r="F9" s="6" t="s">
        <v>50</v>
      </c>
      <c r="G9" s="6" t="s">
        <v>51</v>
      </c>
      <c r="H9" s="6">
        <v>1</v>
      </c>
      <c r="I9" s="7">
        <v>7</v>
      </c>
    </row>
    <row r="10" spans="1:9" ht="15.75" thickBot="1">
      <c r="A10" s="2">
        <f t="shared" si="0"/>
        <v>8</v>
      </c>
      <c r="B10" s="20" t="s">
        <v>53</v>
      </c>
      <c r="C10" s="16" t="s">
        <v>52</v>
      </c>
      <c r="D10" s="9" t="s">
        <v>54</v>
      </c>
      <c r="E10" s="9" t="s">
        <v>55</v>
      </c>
      <c r="F10" s="9" t="s">
        <v>56</v>
      </c>
      <c r="G10" s="9" t="s">
        <v>46</v>
      </c>
      <c r="H10" s="9">
        <v>1</v>
      </c>
      <c r="I10" s="10">
        <v>50</v>
      </c>
    </row>
    <row r="11" spans="1:9" ht="15.75" thickBot="1">
      <c r="A11" s="2">
        <f t="shared" si="0"/>
        <v>9</v>
      </c>
      <c r="B11" s="21" t="s">
        <v>63</v>
      </c>
      <c r="C11" s="17" t="s">
        <v>62</v>
      </c>
      <c r="D11" s="12" t="s">
        <v>64</v>
      </c>
      <c r="E11" s="12" t="s">
        <v>65</v>
      </c>
      <c r="F11" s="12" t="s">
        <v>66</v>
      </c>
      <c r="G11" s="12"/>
      <c r="H11" s="12">
        <v>4</v>
      </c>
      <c r="I11" s="13">
        <v>22</v>
      </c>
    </row>
    <row r="12" spans="1:9" ht="15.75" thickBot="1">
      <c r="A12" s="2">
        <f t="shared" si="0"/>
        <v>10</v>
      </c>
      <c r="B12" s="18" t="s">
        <v>68</v>
      </c>
      <c r="C12" s="14" t="s">
        <v>67</v>
      </c>
      <c r="D12" s="6" t="s">
        <v>69</v>
      </c>
      <c r="E12" s="6" t="s">
        <v>70</v>
      </c>
      <c r="F12" s="6" t="s">
        <v>71</v>
      </c>
      <c r="G12" s="6" t="s">
        <v>72</v>
      </c>
      <c r="H12" s="6">
        <v>1</v>
      </c>
      <c r="I12" s="7">
        <v>50</v>
      </c>
    </row>
    <row r="13" spans="1:9" ht="15.75" thickBot="1">
      <c r="A13" s="2">
        <f t="shared" si="0"/>
        <v>11</v>
      </c>
      <c r="B13" s="19" t="s">
        <v>74</v>
      </c>
      <c r="C13" s="15" t="s">
        <v>73</v>
      </c>
      <c r="D13" s="5" t="s">
        <v>69</v>
      </c>
      <c r="E13" s="5" t="s">
        <v>75</v>
      </c>
      <c r="F13" s="5" t="s">
        <v>76</v>
      </c>
      <c r="G13" s="5" t="s">
        <v>77</v>
      </c>
      <c r="H13" s="5">
        <v>1</v>
      </c>
      <c r="I13" s="8">
        <v>100</v>
      </c>
    </row>
    <row r="14" spans="1:9" ht="15.75" thickBot="1">
      <c r="A14" s="2">
        <f t="shared" si="0"/>
        <v>12</v>
      </c>
      <c r="B14" s="19" t="s">
        <v>79</v>
      </c>
      <c r="C14" s="15" t="s">
        <v>78</v>
      </c>
      <c r="D14" s="5" t="s">
        <v>80</v>
      </c>
      <c r="E14" s="5" t="s">
        <v>81</v>
      </c>
      <c r="F14" s="5" t="s">
        <v>82</v>
      </c>
      <c r="G14" s="5" t="s">
        <v>83</v>
      </c>
      <c r="H14" s="5">
        <v>4</v>
      </c>
      <c r="I14" s="8">
        <v>100</v>
      </c>
    </row>
    <row r="15" spans="1:9" ht="15.75" thickBot="1">
      <c r="A15" s="2">
        <f t="shared" si="0"/>
        <v>13</v>
      </c>
      <c r="B15" s="19" t="s">
        <v>85</v>
      </c>
      <c r="C15" s="15" t="s">
        <v>84</v>
      </c>
      <c r="D15" s="5" t="s">
        <v>69</v>
      </c>
      <c r="E15" s="5" t="s">
        <v>86</v>
      </c>
      <c r="F15" s="5" t="s">
        <v>87</v>
      </c>
      <c r="G15" s="5" t="s">
        <v>88</v>
      </c>
      <c r="H15" s="5">
        <v>5</v>
      </c>
      <c r="I15" s="8">
        <v>100</v>
      </c>
    </row>
    <row r="16" spans="1:9" ht="15.75" thickBot="1">
      <c r="A16" s="2">
        <f t="shared" si="0"/>
        <v>14</v>
      </c>
      <c r="B16" s="19" t="s">
        <v>90</v>
      </c>
      <c r="C16" s="15" t="s">
        <v>89</v>
      </c>
      <c r="D16" s="5" t="s">
        <v>69</v>
      </c>
      <c r="E16" s="5" t="s">
        <v>91</v>
      </c>
      <c r="F16" s="5" t="s">
        <v>92</v>
      </c>
      <c r="G16" s="5" t="s">
        <v>93</v>
      </c>
      <c r="H16" s="5">
        <v>5</v>
      </c>
      <c r="I16" s="8">
        <v>50</v>
      </c>
    </row>
    <row r="17" spans="1:9" ht="15.75" thickBot="1">
      <c r="A17" s="2">
        <f t="shared" si="0"/>
        <v>15</v>
      </c>
      <c r="B17" s="19" t="s">
        <v>95</v>
      </c>
      <c r="C17" s="15" t="s">
        <v>94</v>
      </c>
      <c r="D17" s="5" t="s">
        <v>69</v>
      </c>
      <c r="E17" s="5" t="s">
        <v>96</v>
      </c>
      <c r="F17" s="5" t="s">
        <v>97</v>
      </c>
      <c r="G17" s="5" t="s">
        <v>98</v>
      </c>
      <c r="H17" s="5">
        <v>1</v>
      </c>
      <c r="I17" s="8">
        <v>100</v>
      </c>
    </row>
    <row r="18" spans="1:9" ht="15.75" thickBot="1">
      <c r="A18" s="2">
        <f t="shared" si="0"/>
        <v>16</v>
      </c>
      <c r="B18" s="20" t="s">
        <v>100</v>
      </c>
      <c r="C18" s="16" t="s">
        <v>99</v>
      </c>
      <c r="D18" s="9" t="s">
        <v>69</v>
      </c>
      <c r="E18" s="9" t="s">
        <v>101</v>
      </c>
      <c r="F18" s="9" t="s">
        <v>102</v>
      </c>
      <c r="G18" s="9" t="s">
        <v>103</v>
      </c>
      <c r="H18" s="9">
        <v>1</v>
      </c>
      <c r="I18" s="10">
        <v>100</v>
      </c>
    </row>
    <row r="19" spans="1:9" ht="15.75" thickBot="1">
      <c r="A19" s="2">
        <f t="shared" si="0"/>
        <v>17</v>
      </c>
      <c r="B19" s="21" t="s">
        <v>105</v>
      </c>
      <c r="C19" s="17" t="s">
        <v>104</v>
      </c>
      <c r="D19" s="12" t="s">
        <v>15</v>
      </c>
      <c r="E19" s="12" t="s">
        <v>106</v>
      </c>
      <c r="F19" s="12" t="s">
        <v>107</v>
      </c>
      <c r="G19" s="12" t="s">
        <v>40</v>
      </c>
      <c r="H19" s="12">
        <v>1</v>
      </c>
      <c r="I19" s="13">
        <v>10</v>
      </c>
    </row>
    <row r="20" spans="1:9" ht="15.75" thickBot="1">
      <c r="A20" s="11">
        <f t="shared" si="0"/>
        <v>18</v>
      </c>
      <c r="B20" s="18" t="s">
        <v>109</v>
      </c>
      <c r="C20" s="14" t="s">
        <v>108</v>
      </c>
      <c r="D20" s="6" t="s">
        <v>110</v>
      </c>
      <c r="E20" s="6" t="s">
        <v>111</v>
      </c>
      <c r="F20" s="6" t="s">
        <v>112</v>
      </c>
      <c r="G20" s="6" t="s">
        <v>40</v>
      </c>
      <c r="H20" s="6">
        <v>1</v>
      </c>
      <c r="I20" s="7">
        <v>7</v>
      </c>
    </row>
    <row r="21" spans="1:9" ht="15.75" thickBot="1">
      <c r="A21" s="2">
        <f t="shared" si="0"/>
        <v>19</v>
      </c>
      <c r="B21" s="19" t="s">
        <v>114</v>
      </c>
      <c r="C21" s="15" t="s">
        <v>113</v>
      </c>
      <c r="D21" s="5" t="s">
        <v>115</v>
      </c>
      <c r="E21" s="5" t="s">
        <v>116</v>
      </c>
      <c r="F21" s="5" t="s">
        <v>117</v>
      </c>
      <c r="G21" s="5" t="s">
        <v>40</v>
      </c>
      <c r="H21" s="5">
        <v>1</v>
      </c>
      <c r="I21" s="8">
        <v>7</v>
      </c>
    </row>
    <row r="22" spans="1:9" ht="15.75" thickBot="1">
      <c r="A22" s="2">
        <f t="shared" si="0"/>
        <v>20</v>
      </c>
      <c r="B22" s="19" t="s">
        <v>119</v>
      </c>
      <c r="C22" s="15" t="s">
        <v>118</v>
      </c>
      <c r="D22" s="5" t="s">
        <v>120</v>
      </c>
      <c r="E22" s="5" t="s">
        <v>121</v>
      </c>
      <c r="F22" s="5" t="s">
        <v>122</v>
      </c>
      <c r="G22" s="5" t="s">
        <v>40</v>
      </c>
      <c r="H22" s="5">
        <v>1</v>
      </c>
      <c r="I22" s="8">
        <v>7</v>
      </c>
    </row>
    <row r="23" spans="1:9" ht="15.75" thickBot="1">
      <c r="A23" s="2">
        <f t="shared" si="0"/>
        <v>21</v>
      </c>
      <c r="B23" s="20" t="s">
        <v>124</v>
      </c>
      <c r="C23" s="16" t="s">
        <v>123</v>
      </c>
      <c r="D23" s="9" t="s">
        <v>125</v>
      </c>
      <c r="E23" s="9" t="s">
        <v>126</v>
      </c>
      <c r="F23" s="9" t="s">
        <v>127</v>
      </c>
      <c r="G23" s="9" t="s">
        <v>40</v>
      </c>
      <c r="H23" s="9">
        <v>1</v>
      </c>
      <c r="I23" s="10">
        <v>7</v>
      </c>
    </row>
    <row r="24" spans="1:9" ht="15.75" thickBot="1">
      <c r="A24" s="2">
        <f t="shared" si="0"/>
        <v>22</v>
      </c>
      <c r="B24" s="18" t="s">
        <v>42</v>
      </c>
      <c r="C24" s="14" t="s">
        <v>41</v>
      </c>
      <c r="D24" s="6" t="s">
        <v>43</v>
      </c>
      <c r="E24" s="6" t="s">
        <v>44</v>
      </c>
      <c r="F24" s="6" t="s">
        <v>45</v>
      </c>
      <c r="G24" s="6" t="s">
        <v>46</v>
      </c>
      <c r="H24" s="6">
        <v>1</v>
      </c>
      <c r="I24" s="7">
        <v>20</v>
      </c>
    </row>
    <row r="25" spans="1:9" ht="15.75" thickBot="1">
      <c r="A25" s="2">
        <f t="shared" si="0"/>
        <v>23</v>
      </c>
      <c r="B25" s="20" t="s">
        <v>58</v>
      </c>
      <c r="C25" s="16" t="s">
        <v>57</v>
      </c>
      <c r="D25" s="9" t="s">
        <v>59</v>
      </c>
      <c r="E25" s="9" t="s">
        <v>60</v>
      </c>
      <c r="F25" s="9" t="s">
        <v>61</v>
      </c>
      <c r="G25" s="9" t="s">
        <v>46</v>
      </c>
      <c r="H25" s="9">
        <v>10</v>
      </c>
      <c r="I25" s="10">
        <v>100</v>
      </c>
    </row>
  </sheetData>
  <mergeCells count="1">
    <mergeCell ref="A1:I1"/>
  </mergeCells>
  <conditionalFormatting sqref="H3:H25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DANISH TRADERS</dc:creator>
  <cp:lastModifiedBy>DANISH TRADERS</cp:lastModifiedBy>
  <dcterms:created xsi:type="dcterms:W3CDTF">2022-05-30T10:21:44Z</dcterms:created>
  <dcterms:modified xsi:type="dcterms:W3CDTF">2022-05-30T10:59:52Z</dcterms:modified>
</cp:coreProperties>
</file>