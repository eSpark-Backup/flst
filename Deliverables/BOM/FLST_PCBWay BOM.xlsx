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GitHub\flst\Deliverables\BOM\"/>
    </mc:Choice>
  </mc:AlternateContent>
  <xr:revisionPtr revIDLastSave="0" documentId="13_ncr:1_{D70144D4-DC3E-41AC-8A95-0A79B9A9BC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2" i="2" l="1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</calcChain>
</file>

<file path=xl/sharedStrings.xml><?xml version="1.0" encoding="utf-8"?>
<sst xmlns="http://schemas.openxmlformats.org/spreadsheetml/2006/main" count="180" uniqueCount="157">
  <si>
    <t>Designator</t>
  </si>
  <si>
    <t>Description</t>
  </si>
  <si>
    <t>Footprint</t>
  </si>
  <si>
    <t>Manufacturer Part Number</t>
  </si>
  <si>
    <t>LCSC/Part No</t>
  </si>
  <si>
    <t>Quantity</t>
  </si>
  <si>
    <t>LCSC/MOQ/5 Boards</t>
  </si>
  <si>
    <t>C1</t>
  </si>
  <si>
    <t>CAP TANT 100UF 20% 25V 2917</t>
  </si>
  <si>
    <t>CAP- 2917</t>
  </si>
  <si>
    <t>TAJE107M025RNJ</t>
  </si>
  <si>
    <t>C7230</t>
  </si>
  <si>
    <t>100uF</t>
  </si>
  <si>
    <t>C2</t>
  </si>
  <si>
    <t>470uF ±20% 50V 12.5mm 13.5mm 1000hrs 105℃ -40℃~+105℃ SMD,12.5x13.5mm Aluminum Electrolytic Capacitors - SMD RoHS</t>
  </si>
  <si>
    <t>Custom</t>
  </si>
  <si>
    <t>VKMD1001J101MV</t>
  </si>
  <si>
    <t>C191227</t>
  </si>
  <si>
    <t>470uF</t>
  </si>
  <si>
    <t>C3</t>
  </si>
  <si>
    <t>CAP CER 470pF 10% X7R 50V 0603 SMD</t>
  </si>
  <si>
    <t>Cap0603</t>
  </si>
  <si>
    <t>CC0603KRX7R9BB471</t>
  </si>
  <si>
    <t>C107092</t>
  </si>
  <si>
    <t>470pF</t>
  </si>
  <si>
    <t>C4, C6</t>
  </si>
  <si>
    <t>CAP CER 0.1UF 50V Y5V 0603</t>
  </si>
  <si>
    <t>CC0603ZRY5V9BB104</t>
  </si>
  <si>
    <t>C106221</t>
  </si>
  <si>
    <t>0.1uF</t>
  </si>
  <si>
    <t>C5</t>
  </si>
  <si>
    <t>CAP CER 1UF 25V X5R 0603</t>
  </si>
  <si>
    <t>CC0603KRX5R8BB105</t>
  </si>
  <si>
    <t>C14664</t>
  </si>
  <si>
    <t>1uF</t>
  </si>
  <si>
    <t>D1</t>
  </si>
  <si>
    <t>40V 500mV@2A 2A SMA(DO-214AC) Schottky Barrier Diodes (SBD) ROHS</t>
  </si>
  <si>
    <t>SMA</t>
  </si>
  <si>
    <t>SS24A</t>
  </si>
  <si>
    <t>C211773</t>
  </si>
  <si>
    <t>--------</t>
  </si>
  <si>
    <t>J1</t>
  </si>
  <si>
    <t>Pin Header 5 1 right-angle</t>
  </si>
  <si>
    <t>HDR1X5</t>
  </si>
  <si>
    <t>PZ254V-11-05P</t>
  </si>
  <si>
    <t>C492404</t>
  </si>
  <si>
    <t>-------</t>
  </si>
  <si>
    <t>L1</t>
  </si>
  <si>
    <t>Inductor Power Shielded Wirewound 220uH 20% 1KHz Ferrite 1.3A 310mOhm DCR Blister T/R</t>
  </si>
  <si>
    <t>SLF12575T-221M1R3-PF</t>
  </si>
  <si>
    <t>C93225</t>
  </si>
  <si>
    <t>220uH</t>
  </si>
  <si>
    <t>L2</t>
  </si>
  <si>
    <t>FERRITE BEAD 600 OHM 0201 1LN</t>
  </si>
  <si>
    <t>IND 0201</t>
  </si>
  <si>
    <t>MMZ0603S601CT000</t>
  </si>
  <si>
    <t>C275404</t>
  </si>
  <si>
    <t>P1, P2, P3, P4, P5, P6, P7, P8, P9, P10</t>
  </si>
  <si>
    <t>CONN HEADER VERT 2POS 2.54MM</t>
  </si>
  <si>
    <t>HDR1X2</t>
  </si>
  <si>
    <t>210-91-02GB01</t>
  </si>
  <si>
    <t>C390678</t>
  </si>
  <si>
    <t>Q1, Q2, Q3, Q4</t>
  </si>
  <si>
    <t>MOSFET N-CH 130V 1A SOT23</t>
  </si>
  <si>
    <t>SOT23-3</t>
  </si>
  <si>
    <t>DMN13H750S-7</t>
  </si>
  <si>
    <t>C156273</t>
  </si>
  <si>
    <t>R1</t>
  </si>
  <si>
    <t>0.33Ω 0603 Chip Resistor - Surface Mount ROHS</t>
  </si>
  <si>
    <t>RES-0603</t>
  </si>
  <si>
    <t>RTT03R330FTP</t>
  </si>
  <si>
    <t>C103893</t>
  </si>
  <si>
    <t>0.33R</t>
  </si>
  <si>
    <t>R2</t>
  </si>
  <si>
    <t>RES SMD 4.7K OHM 1% 1/10W 0603</t>
  </si>
  <si>
    <t>RC0603FR-074K7L</t>
  </si>
  <si>
    <t>C99782</t>
  </si>
  <si>
    <t>4.7K</t>
  </si>
  <si>
    <t>R3, R8, R14, R15</t>
  </si>
  <si>
    <t>RES SMD 10K OHM 1% 1/20W 0201</t>
  </si>
  <si>
    <t>Res-0201</t>
  </si>
  <si>
    <t>RC0201FR-0710KL</t>
  </si>
  <si>
    <t>C106225</t>
  </si>
  <si>
    <t>10K</t>
  </si>
  <si>
    <t>R4, R5, R6, R7, R9</t>
  </si>
  <si>
    <t>RES SMD 3.3K OHM 1% 1/10W 0603</t>
  </si>
  <si>
    <t>RC0603FR-073K3L</t>
  </si>
  <si>
    <t>C108078</t>
  </si>
  <si>
    <t>3.3K</t>
  </si>
  <si>
    <t>R10, R11, R12, R13, R16</t>
  </si>
  <si>
    <t>RF1</t>
  </si>
  <si>
    <t>RES SMD 2K OHM 1% 1/10W 0603</t>
  </si>
  <si>
    <t>RC0603FR-072KL</t>
  </si>
  <si>
    <t>C105576</t>
  </si>
  <si>
    <t>2K</t>
  </si>
  <si>
    <t>RF2</t>
  </si>
  <si>
    <t>±1% 1/10W Thick Film Resistors 75V ±100ppm/℃ -55℃~+155℃ 1.2kΩ 0603 Chip Resistor - Surface Mount ROHS</t>
  </si>
  <si>
    <t>0603WAF1201T5E</t>
  </si>
  <si>
    <t>C22765</t>
  </si>
  <si>
    <t>1.2K</t>
  </si>
  <si>
    <t>SW1</t>
  </si>
  <si>
    <t>3mm 2mm Round Button 50mA Top3.65mm SPST 12V SMD Tactile Switches</t>
  </si>
  <si>
    <t>TS-1185EC-C-D-B</t>
  </si>
  <si>
    <t>C318893</t>
  </si>
  <si>
    <t>U1</t>
  </si>
  <si>
    <t>1.5-A boost, buck, inverting switching regulator, operation from 0°C to 70°C 8-SOIC 0 to 70</t>
  </si>
  <si>
    <t>SOIC-8</t>
  </si>
  <si>
    <t>MC34063ADR</t>
  </si>
  <si>
    <t>C100023</t>
  </si>
  <si>
    <t>U2</t>
  </si>
  <si>
    <t>IC MCU 8BIT 16KB FLASH 20VQFN</t>
  </si>
  <si>
    <t>20-QFN</t>
  </si>
  <si>
    <t>ATTINY1616-MNR</t>
  </si>
  <si>
    <t>C507118</t>
  </si>
  <si>
    <t>U3</t>
  </si>
  <si>
    <t>OPTOISO 3.75KV 4CH TRANS 16SO</t>
  </si>
  <si>
    <t>16SO</t>
  </si>
  <si>
    <t>LTV-247</t>
  </si>
  <si>
    <t>C115451</t>
  </si>
  <si>
    <t>U4</t>
  </si>
  <si>
    <t>TransistorOptocouplers DC 1 2500Vrms SOP-4_P1.27 Optocouplers RoHS</t>
  </si>
  <si>
    <t>SOP-4</t>
  </si>
  <si>
    <t>PS2801C-1-F3-A</t>
  </si>
  <si>
    <t>C67112</t>
  </si>
  <si>
    <t>Component list</t>
  </si>
  <si>
    <t>Bill of Materials for Project [Oliver_Flst.PrjPcb] (No PCB Document Selected)</t>
  </si>
  <si>
    <t>Source Data From:</t>
  </si>
  <si>
    <t>Oliver_Flst.PrjPcb</t>
  </si>
  <si>
    <t>Project:</t>
  </si>
  <si>
    <t>Variant:</t>
  </si>
  <si>
    <t>None</t>
  </si>
  <si>
    <t>#</t>
  </si>
  <si>
    <t>Manufacturer</t>
  </si>
  <si>
    <t>Comment</t>
  </si>
  <si>
    <t>Kyocera AVX</t>
  </si>
  <si>
    <t>Changzhou Huawei Elec</t>
  </si>
  <si>
    <t>Yageo</t>
  </si>
  <si>
    <t>Yangzhou</t>
  </si>
  <si>
    <t>XFCN</t>
  </si>
  <si>
    <t>TDK</t>
  </si>
  <si>
    <t>Wurth Electronics</t>
  </si>
  <si>
    <t>Diodes</t>
  </si>
  <si>
    <t>RALEC</t>
  </si>
  <si>
    <t>Yageo Phycomp</t>
  </si>
  <si>
    <t>RES SMD 536 OHM 1% 1/4W 1206</t>
  </si>
  <si>
    <t>RES-1206</t>
  </si>
  <si>
    <t>AC1206FR-07536RL</t>
  </si>
  <si>
    <t>C229696</t>
  </si>
  <si>
    <t>536R</t>
  </si>
  <si>
    <t>UNI-ROYAL</t>
  </si>
  <si>
    <t>XKB</t>
  </si>
  <si>
    <t>Texas Instruments</t>
  </si>
  <si>
    <t>Microchip</t>
  </si>
  <si>
    <t>Vishay Lite-On</t>
  </si>
  <si>
    <t>CEL</t>
  </si>
  <si>
    <t>Approved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</si>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</sst>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24"/>
      <color theme="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10"/>
      <color theme="0"/>
      <name val="Calibri"/>
      <family val="2"/>
      <scheme val="minor"/>
    </font>
    <font>
      <sz val="9"/>
      <color indexed="10"/>
      <name val="Arial"/>
      <family val="2"/>
    </font>
    <font>
      <sz val="9"/>
      <color theme="0"/>
      <name val="Calibri"/>
      <family val="2"/>
      <scheme val="minor"/>
    </font>
    <font>
      <sz val="9"/>
      <color theme="0"/>
      <name val="Arial"/>
      <family val="2"/>
    </font>
    <font>
      <sz val="10"/>
      <color indexed="10"/>
      <name val="Arial"/>
      <family val="2"/>
    </font>
    <font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3" fillId="3" borderId="5" xfId="0" applyFont="1" applyFill="1" applyBorder="1"/>
    <xf numFmtId="0" fontId="4" fillId="4" borderId="6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vertical="center"/>
    </xf>
    <xf numFmtId="0" fontId="2" fillId="4" borderId="2" xfId="0" quotePrefix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vertical="center"/>
    </xf>
    <xf numFmtId="0" fontId="8" fillId="4" borderId="8" xfId="0" applyFont="1" applyFill="1" applyBorder="1" applyAlignment="1">
      <alignment horizontal="center"/>
    </xf>
    <xf numFmtId="0" fontId="11" fillId="4" borderId="9" xfId="0" applyFont="1" applyFill="1" applyBorder="1"/>
    <xf numFmtId="0" fontId="9" fillId="4" borderId="11" xfId="0" quotePrefix="1" applyFont="1" applyFill="1" applyBorder="1" applyAlignment="1">
      <alignment horizontal="left"/>
    </xf>
    <xf numFmtId="0" fontId="12" fillId="4" borderId="11" xfId="0" applyFont="1" applyFill="1" applyBorder="1"/>
    <xf numFmtId="0" fontId="11" fillId="4" borderId="11" xfId="0" applyFont="1" applyFill="1" applyBorder="1"/>
    <xf numFmtId="0" fontId="9" fillId="4" borderId="9" xfId="0" quotePrefix="1" applyFont="1" applyFill="1" applyBorder="1" applyAlignment="1">
      <alignment horizontal="left"/>
    </xf>
    <xf numFmtId="0" fontId="12" fillId="4" borderId="9" xfId="0" applyFont="1" applyFill="1" applyBorder="1"/>
    <xf numFmtId="0" fontId="8" fillId="4" borderId="13" xfId="0" applyFont="1" applyFill="1" applyBorder="1" applyAlignment="1">
      <alignment horizontal="center"/>
    </xf>
    <xf numFmtId="0" fontId="9" fillId="4" borderId="9" xfId="0" applyFont="1" applyFill="1" applyBorder="1"/>
    <xf numFmtId="0" fontId="12" fillId="4" borderId="9" xfId="0" applyFont="1" applyFill="1" applyBorder="1" applyAlignment="1">
      <alignment horizontal="left"/>
    </xf>
    <xf numFmtId="0" fontId="13" fillId="4" borderId="8" xfId="0" applyFont="1" applyFill="1" applyBorder="1" applyAlignment="1">
      <alignment horizontal="center"/>
    </xf>
    <xf numFmtId="0" fontId="12" fillId="4" borderId="5" xfId="0" applyFont="1" applyFill="1" applyBorder="1" applyAlignment="1">
      <alignment horizontal="left"/>
    </xf>
    <xf numFmtId="0" fontId="16" fillId="4" borderId="8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7" fillId="3" borderId="14" xfId="0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7" fillId="5" borderId="16" xfId="0" applyFont="1" applyFill="1" applyBorder="1" applyAlignment="1">
      <alignment horizontal="center"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 applyProtection="1">
      <alignment horizontal="center" vertical="center"/>
      <protection locked="0"/>
    </xf>
    <xf numFmtId="0" fontId="12" fillId="4" borderId="3" xfId="0" applyFont="1" applyFill="1" applyBorder="1" applyAlignment="1" applyProtection="1">
      <alignment horizontal="center" vertical="top"/>
      <protection locked="0"/>
    </xf>
    <xf numFmtId="0" fontId="9" fillId="4" borderId="19" xfId="0" applyFont="1" applyFill="1" applyBorder="1" applyAlignment="1" applyProtection="1">
      <alignment horizontal="left" vertical="top"/>
      <protection locked="0"/>
    </xf>
    <xf numFmtId="0" fontId="17" fillId="4" borderId="19" xfId="0" applyFont="1" applyFill="1" applyBorder="1" applyAlignment="1" applyProtection="1">
      <alignment horizontal="left" vertical="top"/>
      <protection locked="0"/>
    </xf>
    <xf numFmtId="0" fontId="7" fillId="4" borderId="7" xfId="0" applyFont="1" applyFill="1" applyBorder="1" applyAlignment="1">
      <alignment horizontal="center" vertical="center"/>
    </xf>
    <xf numFmtId="0" fontId="9" fillId="4" borderId="0" xfId="0" applyFont="1" applyFill="1" applyBorder="1"/>
    <xf numFmtId="0" fontId="9" fillId="4" borderId="0" xfId="0" quotePrefix="1" applyFont="1" applyFill="1" applyBorder="1" applyAlignment="1">
      <alignment horizontal="left"/>
    </xf>
    <xf numFmtId="0" fontId="10" fillId="4" borderId="0" xfId="0" applyFont="1" applyFill="1" applyBorder="1"/>
    <xf numFmtId="0" fontId="14" fillId="4" borderId="0" xfId="0" applyFont="1" applyFill="1" applyBorder="1"/>
    <xf numFmtId="0" fontId="15" fillId="4" borderId="0" xfId="0" applyFont="1" applyFill="1" applyBorder="1"/>
    <xf numFmtId="0" fontId="12" fillId="4" borderId="0" xfId="0" applyFont="1" applyFill="1" applyBorder="1"/>
    <xf numFmtId="164" fontId="12" fillId="4" borderId="0" xfId="0" applyNumberFormat="1" applyFont="1" applyFill="1" applyBorder="1" applyAlignment="1">
      <alignment horizontal="left"/>
    </xf>
    <xf numFmtId="0" fontId="17" fillId="3" borderId="15" xfId="0" applyFont="1" applyFill="1" applyBorder="1" applyAlignment="1">
      <alignment horizontal="center" vertical="center" wrapText="1"/>
    </xf>
    <xf numFmtId="0" fontId="17" fillId="5" borderId="17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9" fillId="4" borderId="0" xfId="0" applyFont="1" applyFill="1" applyBorder="1" applyAlignment="1" applyProtection="1">
      <alignment vertical="center"/>
      <protection locked="0"/>
    </xf>
    <xf numFmtId="0" fontId="17" fillId="4" borderId="0" xfId="0" applyFont="1" applyFill="1" applyBorder="1" applyAlignment="1" applyProtection="1">
      <alignment horizontal="left" vertical="center"/>
      <protection locked="0"/>
    </xf>
    <xf numFmtId="0" fontId="0" fillId="4" borderId="0" xfId="0" applyFill="1" applyBorder="1" applyAlignment="1">
      <alignment vertical="center"/>
    </xf>
    <xf numFmtId="0" fontId="0" fillId="4" borderId="4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11" fillId="4" borderId="10" xfId="0" applyFont="1" applyFill="1" applyBorder="1" applyAlignment="1">
      <alignment horizontal="center"/>
    </xf>
    <xf numFmtId="0" fontId="11" fillId="4" borderId="12" xfId="0" applyFont="1" applyFill="1" applyBorder="1" applyAlignment="1">
      <alignment horizontal="center"/>
    </xf>
    <xf numFmtId="0" fontId="11" fillId="4" borderId="20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11" fillId="4" borderId="0" xfId="0" applyFont="1" applyFill="1" applyBorder="1" applyAlignment="1">
      <alignment horizontal="center"/>
    </xf>
    <xf numFmtId="0" fontId="11" fillId="4" borderId="19" xfId="0" applyFont="1" applyFill="1" applyBorder="1" applyAlignment="1">
      <alignment horizontal="center"/>
    </xf>
    <xf numFmtId="0" fontId="17" fillId="5" borderId="2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57151</xdr:colOff>
      <xdr:row>2</xdr:row>
      <xdr:rowOff>28576</xdr:rowOff>
    </xdr:from>
    <xdr:ext cx="2000250" cy="1114424"/>
    <xdr:pic>
      <xdr:nvPicPr>
        <xdr:cNvPr id="2" name="Picture 1">
          <a:extLst>
            <a:ext uri="{FF2B5EF4-FFF2-40B4-BE49-F238E27FC236}">
              <a16:creationId xmlns:a16="http://schemas.microsoft.com/office/drawing/2014/main" id="{CF3EE1E3-21D1-452F-8329-CDB16A41A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2068176" y="638176"/>
          <a:ext cx="2000250" cy="111442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BE94E-0DF2-434E-9FA4-66DB64B1F05A}">
  <dimension ref="A1:K34"/>
  <sheetViews>
    <sheetView tabSelected="1" workbookViewId="0">
      <selection activeCell="L27" sqref="L27"/>
    </sheetView>
  </sheetViews>
  <sheetFormatPr defaultRowHeight="15" x14ac:dyDescent="0.25"/>
  <cols>
    <col min="2" max="2" width="3" bestFit="1" customWidth="1"/>
    <col min="3" max="3" width="31.140625" bestFit="1" customWidth="1"/>
    <col min="4" max="4" width="31.5703125" customWidth="1"/>
    <col min="5" max="5" width="27.42578125" customWidth="1"/>
    <col min="6" max="6" width="25.28515625" bestFit="1" customWidth="1"/>
    <col min="7" max="7" width="13.28515625" bestFit="1" customWidth="1"/>
    <col min="8" max="8" width="12.5703125" bestFit="1" customWidth="1"/>
    <col min="9" max="9" width="9.7109375" bestFit="1" customWidth="1"/>
    <col min="11" max="11" width="22.140625" customWidth="1"/>
  </cols>
  <sheetData>
    <row r="1" spans="1:11" ht="15.75" thickBot="1" x14ac:dyDescent="0.3">
      <c r="A1" s="2"/>
      <c r="B1" s="3"/>
      <c r="C1" s="4"/>
      <c r="D1" s="4"/>
      <c r="E1" s="4"/>
      <c r="F1" s="4"/>
      <c r="G1" s="4"/>
      <c r="H1" s="4"/>
      <c r="I1" s="53"/>
      <c r="J1" s="53"/>
    </row>
    <row r="2" spans="1:11" ht="32.25" thickBot="1" x14ac:dyDescent="0.3">
      <c r="A2" s="2"/>
      <c r="B2" s="5"/>
      <c r="C2" s="6" t="s">
        <v>124</v>
      </c>
      <c r="D2" s="6"/>
      <c r="E2" s="7" t="s">
        <v>125</v>
      </c>
      <c r="F2" s="8"/>
      <c r="G2" s="9"/>
      <c r="H2" s="9"/>
      <c r="I2" s="9"/>
      <c r="J2" s="9"/>
      <c r="K2" s="35"/>
    </row>
    <row r="3" spans="1:11" x14ac:dyDescent="0.25">
      <c r="A3" s="2"/>
      <c r="B3" s="10"/>
      <c r="C3" s="36" t="s">
        <v>126</v>
      </c>
      <c r="D3" s="36"/>
      <c r="E3" s="37" t="s">
        <v>127</v>
      </c>
      <c r="F3" s="36"/>
      <c r="G3" s="38"/>
      <c r="H3" s="38"/>
      <c r="I3" s="38"/>
      <c r="J3" s="57"/>
      <c r="K3" s="54"/>
    </row>
    <row r="4" spans="1:11" x14ac:dyDescent="0.25">
      <c r="A4" s="2"/>
      <c r="B4" s="10"/>
      <c r="C4" s="36" t="s">
        <v>128</v>
      </c>
      <c r="D4" s="36"/>
      <c r="E4" s="12" t="s">
        <v>127</v>
      </c>
      <c r="F4" s="13"/>
      <c r="G4" s="14"/>
      <c r="H4" s="14"/>
      <c r="I4" s="14"/>
      <c r="J4" s="58"/>
      <c r="K4" s="55"/>
    </row>
    <row r="5" spans="1:11" x14ac:dyDescent="0.25">
      <c r="A5" s="2"/>
      <c r="B5" s="10"/>
      <c r="C5" s="36" t="s">
        <v>129</v>
      </c>
      <c r="D5" s="36"/>
      <c r="E5" s="15" t="s">
        <v>130</v>
      </c>
      <c r="F5" s="16"/>
      <c r="G5" s="11"/>
      <c r="H5" s="11"/>
      <c r="I5" s="11"/>
      <c r="J5" s="58"/>
      <c r="K5" s="55"/>
    </row>
    <row r="6" spans="1:11" x14ac:dyDescent="0.25">
      <c r="A6" s="2"/>
      <c r="B6" s="17"/>
      <c r="C6" s="18"/>
      <c r="D6" s="18"/>
      <c r="E6" s="19"/>
      <c r="F6" s="16"/>
      <c r="G6" s="11"/>
      <c r="H6" s="11"/>
      <c r="I6" s="11"/>
      <c r="J6" s="58"/>
      <c r="K6" s="55"/>
    </row>
    <row r="7" spans="1:11" x14ac:dyDescent="0.25">
      <c r="A7" s="2"/>
      <c r="B7" s="20"/>
      <c r="C7" s="39"/>
      <c r="D7" s="39"/>
      <c r="E7" s="21"/>
      <c r="F7" s="39"/>
      <c r="G7" s="40"/>
      <c r="H7" s="40"/>
      <c r="I7" s="40"/>
      <c r="J7" s="58"/>
      <c r="K7" s="55"/>
    </row>
    <row r="8" spans="1:11" ht="15.75" thickBot="1" x14ac:dyDescent="0.3">
      <c r="A8" s="2"/>
      <c r="B8" s="22"/>
      <c r="C8" s="41"/>
      <c r="D8" s="41"/>
      <c r="E8" s="42"/>
      <c r="F8" s="39"/>
      <c r="G8" s="40"/>
      <c r="H8" s="40"/>
      <c r="I8" s="40"/>
      <c r="J8" s="59"/>
      <c r="K8" s="56"/>
    </row>
    <row r="9" spans="1:11" ht="15.75" thickBot="1" x14ac:dyDescent="0.3">
      <c r="A9" s="2"/>
      <c r="B9" s="1" t="s">
        <v>131</v>
      </c>
      <c r="C9" s="1" t="s">
        <v>0</v>
      </c>
      <c r="D9" s="1" t="s">
        <v>1</v>
      </c>
      <c r="E9" s="1" t="s">
        <v>2</v>
      </c>
      <c r="F9" s="23" t="s">
        <v>3</v>
      </c>
      <c r="G9" s="1" t="s">
        <v>132</v>
      </c>
      <c r="H9" s="1" t="s">
        <v>4</v>
      </c>
      <c r="I9" s="23" t="s">
        <v>133</v>
      </c>
      <c r="J9" s="1" t="s">
        <v>5</v>
      </c>
      <c r="K9" s="24" t="s">
        <v>6</v>
      </c>
    </row>
    <row r="10" spans="1:11" ht="15.75" thickBot="1" x14ac:dyDescent="0.3">
      <c r="A10" s="2"/>
      <c r="B10" s="1">
        <f>ROW(B10) - ROW($B$9)</f>
        <v>1</v>
      </c>
      <c r="C10" s="25" t="s">
        <v>7</v>
      </c>
      <c r="D10" s="25" t="s">
        <v>8</v>
      </c>
      <c r="E10" s="25" t="s">
        <v>9</v>
      </c>
      <c r="F10" s="26" t="s">
        <v>10</v>
      </c>
      <c r="G10" s="25" t="s">
        <v>134</v>
      </c>
      <c r="H10" s="25" t="s">
        <v>11</v>
      </c>
      <c r="I10" s="26" t="s">
        <v>12</v>
      </c>
      <c r="J10" s="25">
        <v>1</v>
      </c>
      <c r="K10" s="43">
        <v>7</v>
      </c>
    </row>
    <row r="11" spans="1:11" ht="51.75" thickBot="1" x14ac:dyDescent="0.3">
      <c r="A11" s="2"/>
      <c r="B11" s="1">
        <f t="shared" ref="B11:B31" si="0">ROW(B11) - ROW($B$9)</f>
        <v>2</v>
      </c>
      <c r="C11" s="27" t="s">
        <v>13</v>
      </c>
      <c r="D11" s="27" t="s">
        <v>14</v>
      </c>
      <c r="E11" s="27" t="s">
        <v>15</v>
      </c>
      <c r="F11" s="28" t="s">
        <v>16</v>
      </c>
      <c r="G11" s="27" t="s">
        <v>135</v>
      </c>
      <c r="H11" s="27" t="s">
        <v>17</v>
      </c>
      <c r="I11" s="28" t="s">
        <v>18</v>
      </c>
      <c r="J11" s="27">
        <v>1</v>
      </c>
      <c r="K11" s="44">
        <v>7</v>
      </c>
    </row>
    <row r="12" spans="1:11" ht="26.25" thickBot="1" x14ac:dyDescent="0.3">
      <c r="A12" s="2"/>
      <c r="B12" s="1">
        <f>ROW(B12) - ROW($B$9)</f>
        <v>3</v>
      </c>
      <c r="C12" s="25" t="s">
        <v>19</v>
      </c>
      <c r="D12" s="25" t="s">
        <v>20</v>
      </c>
      <c r="E12" s="25" t="s">
        <v>21</v>
      </c>
      <c r="F12" s="26" t="s">
        <v>22</v>
      </c>
      <c r="G12" s="25" t="s">
        <v>136</v>
      </c>
      <c r="H12" s="25" t="s">
        <v>23</v>
      </c>
      <c r="I12" s="26" t="s">
        <v>24</v>
      </c>
      <c r="J12" s="25">
        <v>1</v>
      </c>
      <c r="K12" s="43">
        <v>100</v>
      </c>
    </row>
    <row r="13" spans="1:11" ht="15.75" thickBot="1" x14ac:dyDescent="0.3">
      <c r="A13" s="2"/>
      <c r="B13" s="1">
        <f t="shared" si="0"/>
        <v>4</v>
      </c>
      <c r="C13" s="27" t="s">
        <v>25</v>
      </c>
      <c r="D13" s="27" t="s">
        <v>26</v>
      </c>
      <c r="E13" s="27" t="s">
        <v>21</v>
      </c>
      <c r="F13" s="28" t="s">
        <v>27</v>
      </c>
      <c r="G13" s="27" t="s">
        <v>136</v>
      </c>
      <c r="H13" s="27" t="s">
        <v>28</v>
      </c>
      <c r="I13" s="28" t="s">
        <v>29</v>
      </c>
      <c r="J13" s="27">
        <v>2</v>
      </c>
      <c r="K13" s="44">
        <v>100</v>
      </c>
    </row>
    <row r="14" spans="1:11" ht="15.75" thickBot="1" x14ac:dyDescent="0.3">
      <c r="A14" s="2"/>
      <c r="B14" s="1">
        <f>ROW(B14) - ROW($B$9)</f>
        <v>5</v>
      </c>
      <c r="C14" s="25" t="s">
        <v>30</v>
      </c>
      <c r="D14" s="25" t="s">
        <v>31</v>
      </c>
      <c r="E14" s="25" t="s">
        <v>21</v>
      </c>
      <c r="F14" s="26" t="s">
        <v>32</v>
      </c>
      <c r="G14" s="25" t="s">
        <v>136</v>
      </c>
      <c r="H14" s="25" t="s">
        <v>33</v>
      </c>
      <c r="I14" s="26" t="s">
        <v>34</v>
      </c>
      <c r="J14" s="25">
        <v>1</v>
      </c>
      <c r="K14" s="43">
        <v>50</v>
      </c>
    </row>
    <row r="15" spans="1:11" ht="26.25" thickBot="1" x14ac:dyDescent="0.3">
      <c r="A15" s="2"/>
      <c r="B15" s="1">
        <f t="shared" si="0"/>
        <v>6</v>
      </c>
      <c r="C15" s="27" t="s">
        <v>35</v>
      </c>
      <c r="D15" s="27" t="s">
        <v>36</v>
      </c>
      <c r="E15" s="27" t="s">
        <v>37</v>
      </c>
      <c r="F15" s="28" t="s">
        <v>38</v>
      </c>
      <c r="G15" s="27" t="s">
        <v>137</v>
      </c>
      <c r="H15" s="27" t="s">
        <v>39</v>
      </c>
      <c r="I15" s="28" t="s">
        <v>40</v>
      </c>
      <c r="J15" s="27">
        <v>1</v>
      </c>
      <c r="K15" s="44">
        <v>10</v>
      </c>
    </row>
    <row r="16" spans="1:11" ht="15.75" thickBot="1" x14ac:dyDescent="0.3">
      <c r="A16" s="2"/>
      <c r="B16" s="1">
        <f>ROW(B16) - ROW($B$9)</f>
        <v>7</v>
      </c>
      <c r="C16" s="25" t="s">
        <v>41</v>
      </c>
      <c r="D16" s="25" t="s">
        <v>42</v>
      </c>
      <c r="E16" s="25" t="s">
        <v>43</v>
      </c>
      <c r="F16" s="26" t="s">
        <v>44</v>
      </c>
      <c r="G16" s="25" t="s">
        <v>138</v>
      </c>
      <c r="H16" s="25" t="s">
        <v>45</v>
      </c>
      <c r="I16" s="26" t="s">
        <v>46</v>
      </c>
      <c r="J16" s="25">
        <v>1</v>
      </c>
      <c r="K16" s="43">
        <v>20</v>
      </c>
    </row>
    <row r="17" spans="1:11" ht="39" thickBot="1" x14ac:dyDescent="0.3">
      <c r="A17" s="2"/>
      <c r="B17" s="1">
        <f t="shared" si="0"/>
        <v>8</v>
      </c>
      <c r="C17" s="27" t="s">
        <v>47</v>
      </c>
      <c r="D17" s="27" t="s">
        <v>48</v>
      </c>
      <c r="E17" s="27" t="s">
        <v>15</v>
      </c>
      <c r="F17" s="28" t="s">
        <v>49</v>
      </c>
      <c r="G17" s="27" t="s">
        <v>139</v>
      </c>
      <c r="H17" s="27" t="s">
        <v>50</v>
      </c>
      <c r="I17" s="28" t="s">
        <v>51</v>
      </c>
      <c r="J17" s="27">
        <v>1</v>
      </c>
      <c r="K17" s="44">
        <v>7</v>
      </c>
    </row>
    <row r="18" spans="1:11" ht="15.75" thickBot="1" x14ac:dyDescent="0.3">
      <c r="A18" s="2"/>
      <c r="B18" s="1">
        <f>ROW(B18) - ROW($B$9)</f>
        <v>9</v>
      </c>
      <c r="C18" s="25" t="s">
        <v>52</v>
      </c>
      <c r="D18" s="25" t="s">
        <v>53</v>
      </c>
      <c r="E18" s="25" t="s">
        <v>54</v>
      </c>
      <c r="F18" s="26" t="s">
        <v>55</v>
      </c>
      <c r="G18" s="25" t="s">
        <v>139</v>
      </c>
      <c r="H18" s="25" t="s">
        <v>56</v>
      </c>
      <c r="I18" s="26" t="s">
        <v>46</v>
      </c>
      <c r="J18" s="25">
        <v>1</v>
      </c>
      <c r="K18" s="43">
        <v>50</v>
      </c>
    </row>
    <row r="19" spans="1:11" ht="26.25" thickBot="1" x14ac:dyDescent="0.3">
      <c r="A19" s="2"/>
      <c r="B19" s="1">
        <f t="shared" si="0"/>
        <v>10</v>
      </c>
      <c r="C19" s="27" t="s">
        <v>57</v>
      </c>
      <c r="D19" s="27" t="s">
        <v>58</v>
      </c>
      <c r="E19" s="27" t="s">
        <v>59</v>
      </c>
      <c r="F19" s="60" t="s">
        <v>60</v>
      </c>
      <c r="G19" s="27" t="s">
        <v>140</v>
      </c>
      <c r="H19" s="27" t="s">
        <v>61</v>
      </c>
      <c r="I19" s="28" t="s">
        <v>46</v>
      </c>
      <c r="J19" s="27">
        <v>10</v>
      </c>
      <c r="K19" s="44">
        <v>100</v>
      </c>
    </row>
    <row r="20" spans="1:11" ht="15.75" thickBot="1" x14ac:dyDescent="0.3">
      <c r="A20" s="2"/>
      <c r="B20" s="1">
        <f>ROW(B20) - ROW($B$9)</f>
        <v>11</v>
      </c>
      <c r="C20" s="25" t="s">
        <v>62</v>
      </c>
      <c r="D20" s="25" t="s">
        <v>63</v>
      </c>
      <c r="E20" s="25" t="s">
        <v>64</v>
      </c>
      <c r="F20" s="26" t="s">
        <v>65</v>
      </c>
      <c r="G20" s="25" t="s">
        <v>141</v>
      </c>
      <c r="H20" s="25" t="s">
        <v>66</v>
      </c>
      <c r="I20" s="26"/>
      <c r="J20" s="25">
        <v>4</v>
      </c>
      <c r="K20" s="43">
        <v>22</v>
      </c>
    </row>
    <row r="21" spans="1:11" ht="26.25" thickBot="1" x14ac:dyDescent="0.3">
      <c r="A21" s="2"/>
      <c r="B21" s="1">
        <f t="shared" si="0"/>
        <v>12</v>
      </c>
      <c r="C21" s="27" t="s">
        <v>67</v>
      </c>
      <c r="D21" s="27" t="s">
        <v>68</v>
      </c>
      <c r="E21" s="27" t="s">
        <v>69</v>
      </c>
      <c r="F21" s="28" t="s">
        <v>70</v>
      </c>
      <c r="G21" s="27" t="s">
        <v>142</v>
      </c>
      <c r="H21" s="27" t="s">
        <v>71</v>
      </c>
      <c r="I21" s="28" t="s">
        <v>72</v>
      </c>
      <c r="J21" s="27">
        <v>1</v>
      </c>
      <c r="K21" s="44">
        <v>50</v>
      </c>
    </row>
    <row r="22" spans="1:11" ht="15.75" thickBot="1" x14ac:dyDescent="0.3">
      <c r="A22" s="2"/>
      <c r="B22" s="1">
        <f>ROW(B22) - ROW($B$9)</f>
        <v>13</v>
      </c>
      <c r="C22" s="25" t="s">
        <v>73</v>
      </c>
      <c r="D22" s="25" t="s">
        <v>74</v>
      </c>
      <c r="E22" s="25" t="s">
        <v>69</v>
      </c>
      <c r="F22" s="26" t="s">
        <v>75</v>
      </c>
      <c r="G22" s="25" t="s">
        <v>136</v>
      </c>
      <c r="H22" s="25" t="s">
        <v>76</v>
      </c>
      <c r="I22" s="26" t="s">
        <v>77</v>
      </c>
      <c r="J22" s="25">
        <v>1</v>
      </c>
      <c r="K22" s="43">
        <v>100</v>
      </c>
    </row>
    <row r="23" spans="1:11" ht="15.75" thickBot="1" x14ac:dyDescent="0.3">
      <c r="A23" s="2"/>
      <c r="B23" s="1">
        <f t="shared" si="0"/>
        <v>14</v>
      </c>
      <c r="C23" s="27" t="s">
        <v>78</v>
      </c>
      <c r="D23" s="27" t="s">
        <v>79</v>
      </c>
      <c r="E23" s="27" t="s">
        <v>80</v>
      </c>
      <c r="F23" s="28" t="s">
        <v>81</v>
      </c>
      <c r="G23" s="27" t="s">
        <v>136</v>
      </c>
      <c r="H23" s="27" t="s">
        <v>82</v>
      </c>
      <c r="I23" s="28" t="s">
        <v>83</v>
      </c>
      <c r="J23" s="27">
        <v>4</v>
      </c>
      <c r="K23" s="44">
        <v>100</v>
      </c>
    </row>
    <row r="24" spans="1:11" ht="15.75" thickBot="1" x14ac:dyDescent="0.3">
      <c r="A24" s="2"/>
      <c r="B24" s="1">
        <f>ROW(B24) - ROW($B$9)</f>
        <v>15</v>
      </c>
      <c r="C24" s="25" t="s">
        <v>84</v>
      </c>
      <c r="D24" s="25" t="s">
        <v>85</v>
      </c>
      <c r="E24" s="25" t="s">
        <v>69</v>
      </c>
      <c r="F24" s="26" t="s">
        <v>86</v>
      </c>
      <c r="G24" s="25" t="s">
        <v>143</v>
      </c>
      <c r="H24" s="25" t="s">
        <v>87</v>
      </c>
      <c r="I24" s="26" t="s">
        <v>88</v>
      </c>
      <c r="J24" s="25">
        <v>5</v>
      </c>
      <c r="K24" s="43">
        <v>100</v>
      </c>
    </row>
    <row r="25" spans="1:11" ht="15.75" thickBot="1" x14ac:dyDescent="0.3">
      <c r="A25" s="2"/>
      <c r="B25" s="1">
        <f t="shared" si="0"/>
        <v>16</v>
      </c>
      <c r="C25" s="27" t="s">
        <v>89</v>
      </c>
      <c r="D25" s="27" t="s">
        <v>144</v>
      </c>
      <c r="E25" s="27" t="s">
        <v>145</v>
      </c>
      <c r="F25" s="28" t="s">
        <v>146</v>
      </c>
      <c r="G25" s="27" t="s">
        <v>136</v>
      </c>
      <c r="H25" s="27" t="s">
        <v>147</v>
      </c>
      <c r="I25" s="28" t="s">
        <v>148</v>
      </c>
      <c r="J25" s="27">
        <v>5</v>
      </c>
      <c r="K25" s="44">
        <v>50</v>
      </c>
    </row>
    <row r="26" spans="1:11" ht="15.75" thickBot="1" x14ac:dyDescent="0.3">
      <c r="A26" s="2"/>
      <c r="B26" s="1">
        <f>ROW(B26) - ROW($B$9)</f>
        <v>17</v>
      </c>
      <c r="C26" s="25" t="s">
        <v>90</v>
      </c>
      <c r="D26" s="25" t="s">
        <v>91</v>
      </c>
      <c r="E26" s="25" t="s">
        <v>69</v>
      </c>
      <c r="F26" s="26" t="s">
        <v>92</v>
      </c>
      <c r="G26" s="25" t="s">
        <v>136</v>
      </c>
      <c r="H26" s="25" t="s">
        <v>93</v>
      </c>
      <c r="I26" s="26" t="s">
        <v>94</v>
      </c>
      <c r="J26" s="25">
        <v>1</v>
      </c>
      <c r="K26" s="43">
        <v>100</v>
      </c>
    </row>
    <row r="27" spans="1:11" ht="51.75" thickBot="1" x14ac:dyDescent="0.3">
      <c r="A27" s="2"/>
      <c r="B27" s="1">
        <f t="shared" si="0"/>
        <v>18</v>
      </c>
      <c r="C27" s="27" t="s">
        <v>95</v>
      </c>
      <c r="D27" s="27" t="s">
        <v>96</v>
      </c>
      <c r="E27" s="27" t="s">
        <v>69</v>
      </c>
      <c r="F27" s="28" t="s">
        <v>97</v>
      </c>
      <c r="G27" s="27" t="s">
        <v>149</v>
      </c>
      <c r="H27" s="27" t="s">
        <v>98</v>
      </c>
      <c r="I27" s="28" t="s">
        <v>99</v>
      </c>
      <c r="J27" s="27">
        <v>1</v>
      </c>
      <c r="K27" s="44">
        <v>100</v>
      </c>
    </row>
    <row r="28" spans="1:11" ht="39" thickBot="1" x14ac:dyDescent="0.3">
      <c r="A28" s="2"/>
      <c r="B28" s="1">
        <f>ROW(B28) - ROW($B$9)</f>
        <v>19</v>
      </c>
      <c r="C28" s="25" t="s">
        <v>100</v>
      </c>
      <c r="D28" s="25" t="s">
        <v>101</v>
      </c>
      <c r="E28" s="25" t="s">
        <v>15</v>
      </c>
      <c r="F28" s="26" t="s">
        <v>102</v>
      </c>
      <c r="G28" s="25" t="s">
        <v>150</v>
      </c>
      <c r="H28" s="25" t="s">
        <v>103</v>
      </c>
      <c r="I28" s="26" t="s">
        <v>40</v>
      </c>
      <c r="J28" s="25">
        <v>1</v>
      </c>
      <c r="K28" s="43">
        <v>10</v>
      </c>
    </row>
    <row r="29" spans="1:11" ht="39" thickBot="1" x14ac:dyDescent="0.3">
      <c r="A29" s="2"/>
      <c r="B29" s="1">
        <f t="shared" si="0"/>
        <v>20</v>
      </c>
      <c r="C29" s="27" t="s">
        <v>104</v>
      </c>
      <c r="D29" s="27" t="s">
        <v>105</v>
      </c>
      <c r="E29" s="27" t="s">
        <v>106</v>
      </c>
      <c r="F29" s="28" t="s">
        <v>107</v>
      </c>
      <c r="G29" s="27" t="s">
        <v>151</v>
      </c>
      <c r="H29" s="27" t="s">
        <v>108</v>
      </c>
      <c r="I29" s="28" t="s">
        <v>40</v>
      </c>
      <c r="J29" s="27">
        <v>1</v>
      </c>
      <c r="K29" s="44">
        <v>6</v>
      </c>
    </row>
    <row r="30" spans="1:11" ht="15.75" thickBot="1" x14ac:dyDescent="0.3">
      <c r="A30" s="2"/>
      <c r="B30" s="1">
        <f>ROW(B30) - ROW($B$9)</f>
        <v>21</v>
      </c>
      <c r="C30" s="25" t="s">
        <v>109</v>
      </c>
      <c r="D30" s="25" t="s">
        <v>110</v>
      </c>
      <c r="E30" s="25" t="s">
        <v>111</v>
      </c>
      <c r="F30" s="26" t="s">
        <v>112</v>
      </c>
      <c r="G30" s="25" t="s">
        <v>152</v>
      </c>
      <c r="H30" s="25" t="s">
        <v>113</v>
      </c>
      <c r="I30" s="26" t="s">
        <v>40</v>
      </c>
      <c r="J30" s="25">
        <v>1</v>
      </c>
      <c r="K30" s="43">
        <v>6</v>
      </c>
    </row>
    <row r="31" spans="1:11" ht="15.75" thickBot="1" x14ac:dyDescent="0.3">
      <c r="A31" s="2"/>
      <c r="B31" s="1">
        <f t="shared" si="0"/>
        <v>22</v>
      </c>
      <c r="C31" s="27" t="s">
        <v>114</v>
      </c>
      <c r="D31" s="27" t="s">
        <v>115</v>
      </c>
      <c r="E31" s="27" t="s">
        <v>116</v>
      </c>
      <c r="F31" s="28" t="s">
        <v>117</v>
      </c>
      <c r="G31" s="27" t="s">
        <v>153</v>
      </c>
      <c r="H31" s="27" t="s">
        <v>118</v>
      </c>
      <c r="I31" s="28" t="s">
        <v>40</v>
      </c>
      <c r="J31" s="27">
        <v>1</v>
      </c>
      <c r="K31" s="44">
        <v>6</v>
      </c>
    </row>
    <row r="32" spans="1:11" ht="39" thickBot="1" x14ac:dyDescent="0.3">
      <c r="A32" s="2"/>
      <c r="B32" s="1">
        <f>ROW(B32) - ROW($B$9)</f>
        <v>23</v>
      </c>
      <c r="C32" s="29" t="s">
        <v>119</v>
      </c>
      <c r="D32" s="29" t="s">
        <v>120</v>
      </c>
      <c r="E32" s="29" t="s">
        <v>121</v>
      </c>
      <c r="F32" s="30" t="s">
        <v>122</v>
      </c>
      <c r="G32" s="29" t="s">
        <v>154</v>
      </c>
      <c r="H32" s="29" t="s">
        <v>123</v>
      </c>
      <c r="I32" s="30" t="s">
        <v>40</v>
      </c>
      <c r="J32" s="29">
        <v>1</v>
      </c>
      <c r="K32" s="45">
        <v>6</v>
      </c>
    </row>
    <row r="33" spans="1:11" x14ac:dyDescent="0.25">
      <c r="A33" s="2"/>
      <c r="B33" s="31"/>
      <c r="C33" s="46" t="s">
        <v>155</v>
      </c>
      <c r="D33" s="47"/>
      <c r="E33" s="48"/>
      <c r="F33" s="49"/>
      <c r="G33" s="49"/>
      <c r="H33" s="49"/>
      <c r="I33" s="49"/>
      <c r="J33" s="49"/>
      <c r="K33" s="50"/>
    </row>
    <row r="34" spans="1:11" ht="15.75" thickBot="1" x14ac:dyDescent="0.3">
      <c r="A34" s="2"/>
      <c r="B34" s="32"/>
      <c r="C34" s="33" t="s">
        <v>156</v>
      </c>
      <c r="D34" s="34"/>
      <c r="E34" s="34"/>
      <c r="F34" s="51"/>
      <c r="G34" s="51"/>
      <c r="H34" s="51"/>
      <c r="I34" s="51"/>
      <c r="J34" s="51"/>
      <c r="K34" s="52"/>
    </row>
  </sheetData>
  <mergeCells count="4">
    <mergeCell ref="F33:K34"/>
    <mergeCell ref="I1:J1"/>
    <mergeCell ref="K3:K8"/>
    <mergeCell ref="J3:J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DANISH TRADERS</dc:creator>
  <cp:lastModifiedBy>HP</cp:lastModifiedBy>
  <dcterms:created xsi:type="dcterms:W3CDTF">2022-05-30T10:21:44Z</dcterms:created>
  <dcterms:modified xsi:type="dcterms:W3CDTF">2022-06-14T14:07:54Z</dcterms:modified>
</cp:coreProperties>
</file>