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flst\Deliverables\BOM\"/>
    </mc:Choice>
  </mc:AlternateContent>
  <xr:revisionPtr revIDLastSave="0" documentId="13_ncr:1_{766BC405-6459-497A-8C6B-87C2740B1F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10" i="1"/>
  <c r="B10" i="1" l="1"/>
</calcChain>
</file>

<file path=xl/sharedStrings.xml><?xml version="1.0" encoding="utf-8"?>
<sst xmlns="http://schemas.openxmlformats.org/spreadsheetml/2006/main" count="181" uniqueCount="137">
  <si>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</si>
  <si>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</si>
  <si>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</si>
  <si>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</si>
  <si>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</si>
  <si>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</si>
  <si>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</si>
  <si>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[Oliver_Flst.PrjPcb] (No PCB Document Selected)</t>
  </si>
  <si>
    <t>Oliver_Flst.PrjPcb</t>
  </si>
  <si>
    <t>None</t>
  </si>
  <si>
    <t>Designator</t>
  </si>
  <si>
    <t>C1</t>
  </si>
  <si>
    <t>C2</t>
  </si>
  <si>
    <t>C3</t>
  </si>
  <si>
    <t>C4, C6</t>
  </si>
  <si>
    <t>C5</t>
  </si>
  <si>
    <t>D1</t>
  </si>
  <si>
    <t>J1</t>
  </si>
  <si>
    <t>L1</t>
  </si>
  <si>
    <t>L2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</si>
  <si>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</si>
  <si>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</si>
  <si>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</si>
  <si>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</si>
  <si>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</si>
  <si>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</si>
  <si>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</si>
  <si>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</si>
  <si>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</si>
  <si>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</si>
  <si>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U1</t>
  </si>
  <si>
    <t>U2</t>
  </si>
  <si>
    <t>U3</t>
  </si>
  <si>
    <t>U4</t>
  </si>
  <si>
    <t>Description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</si>
  <si>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</si>
  <si>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</si>
  <si>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</si>
  <si>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</si>
  <si>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</si>
  <si>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</si>
  <si>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</si>
  <si>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</si>
  <si>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</si>
  <si>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CONN HEADER VERT 2POS 2.54MM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</si>
  <si>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</si>
  <si>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</si>
  <si>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</si>
  <si>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</si>
  <si>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</si>
  <si>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</si>
  <si>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</si>
  <si>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</si>
  <si>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</si>
  <si>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</si>
  <si>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</si>
  <si>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</si>
  <si>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Footprint</t>
  </si>
  <si>
    <t>CAP- 2917</t>
  </si>
  <si>
    <t>VKMD1001J101MV</t>
  </si>
  <si>
    <t>Cap0603</t>
  </si>
  <si>
    <t>SMA</t>
  </si>
  <si>
    <t>HDR1X5</t>
  </si>
  <si>
    <t>SLF12575T-221M1R3-PF</t>
  </si>
  <si>
    <t>IND 0201</t>
  </si>
  <si>
    <t>HDR1X2</t>
  </si>
  <si>
    <t>SOT23-3</t>
  </si>
  <si>
    <t>RES-0603</t>
  </si>
  <si>
    <t>Res-0201</t>
  </si>
  <si>
    <t>TS-1185EC-C-D-B</t>
  </si>
  <si>
    <t>SOIC-8</t>
  </si>
  <si>
    <t>20-QFN</t>
  </si>
  <si>
    <t>LTV-247</t>
  </si>
  <si>
    <t>PS2801C-1-F3-A</t>
  </si>
  <si>
    <t>Manufacturer Part Number</t>
  </si>
  <si>
    <t>TAJE107M025RNJ</t>
  </si>
  <si>
    <t>CC0603KRX7R9BB471</t>
  </si>
  <si>
    <t>CC0603ZRY5V9BB104</t>
  </si>
  <si>
    <t>CC0603KRX5R8BB105</t>
  </si>
  <si>
    <t>MMZ0603S601CT000</t>
  </si>
  <si>
    <t>DMN13H750S-7</t>
  </si>
  <si>
    <t>RC0603FR-074K7L</t>
  </si>
  <si>
    <t>RC0201FR-0710KL</t>
  </si>
  <si>
    <t>RC0603FR-073K3L</t>
  </si>
  <si>
    <t>RC0603FR-072KL</t>
  </si>
  <si>
    <t>MC34063ADR</t>
  </si>
  <si>
    <t>ATTINY1616-MNR</t>
  </si>
  <si>
    <t>Manufacturer</t>
  </si>
  <si>
    <t>Kyocera AVX</t>
  </si>
  <si>
    <t>Changzhou Huawei Elec</t>
  </si>
  <si>
    <t>Yageo</t>
  </si>
  <si>
    <t>Yangzhou</t>
  </si>
  <si>
    <t>XFCN</t>
  </si>
  <si>
    <t>TDK</t>
  </si>
  <si>
    <t>Wurth Electronics</t>
  </si>
  <si>
    <t>Diodes</t>
  </si>
  <si>
    <t>RALEC</t>
  </si>
  <si>
    <t>Yageo Phycomp</t>
  </si>
  <si>
    <t>UNI-ROYAL</t>
  </si>
  <si>
    <t>XKB</t>
  </si>
  <si>
    <t>Texas Instruments</t>
  </si>
  <si>
    <t>Microchip</t>
  </si>
  <si>
    <t>Vishay Lite-On</t>
  </si>
  <si>
    <t>CEL</t>
  </si>
  <si>
    <t>Comment</t>
  </si>
  <si>
    <t>100uF</t>
  </si>
  <si>
    <t>470uF</t>
  </si>
  <si>
    <t>470pF</t>
  </si>
  <si>
    <t>0.1uF</t>
  </si>
  <si>
    <t>1uF</t>
  </si>
  <si>
    <t>SS24A</t>
  </si>
  <si>
    <t>PZ254V-11-05P</t>
  </si>
  <si>
    <t>220uH</t>
  </si>
  <si>
    <t>0.33R</t>
  </si>
  <si>
    <t>4.7K</t>
  </si>
  <si>
    <t>10K</t>
  </si>
  <si>
    <t>3.3K</t>
  </si>
  <si>
    <t>2K</t>
  </si>
  <si>
    <t>1.2K</t>
  </si>
  <si>
    <t>Quantity</t>
  </si>
  <si>
    <t xml:space="preserve">Alternate Part No </t>
  </si>
  <si>
    <t>Custom</t>
  </si>
  <si>
    <t>Quantity/5 Boards</t>
  </si>
  <si>
    <t>Remarks</t>
  </si>
  <si>
    <t>--------</t>
  </si>
  <si>
    <t>210-91-02GB01</t>
  </si>
  <si>
    <t>RTT03R330FTP</t>
  </si>
  <si>
    <t>0603WAF1201T5E</t>
  </si>
  <si>
    <t>-------</t>
  </si>
  <si>
    <t>-----------</t>
  </si>
  <si>
    <t>16SO</t>
  </si>
  <si>
    <t>SOP-4</t>
  </si>
  <si>
    <t>RES SMD 536 OHM 1% 1/4W 1206</t>
  </si>
  <si>
    <t>RES-1206</t>
  </si>
  <si>
    <t>536R</t>
  </si>
  <si>
    <t>------</t>
  </si>
  <si>
    <t>AC1206FR-07536RL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</si>
</sst>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/>
    <xf numFmtId="0" fontId="11" fillId="3" borderId="7" xfId="0" applyNumberFormat="1" applyFont="1" applyFill="1" applyBorder="1" applyAlignment="1" applyProtection="1">
      <alignment horizontal="center" vertical="center"/>
      <protection locked="0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7" fillId="5" borderId="12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2" fillId="2" borderId="20" xfId="0" quotePrefix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</xdr:colOff>
      <xdr:row>2</xdr:row>
      <xdr:rowOff>10416</xdr:rowOff>
    </xdr:from>
    <xdr:ext cx="1752600" cy="1113533"/>
    <xdr:pic>
      <xdr:nvPicPr>
        <xdr:cNvPr id="7" name="Picture 6">
          <a:extLst>
            <a:ext uri="{FF2B5EF4-FFF2-40B4-BE49-F238E27FC236}">
              <a16:creationId xmlns:a16="http://schemas.microsoft.com/office/drawing/2014/main" id="{E6185E7D-DE3B-44DE-A2D2-2D34B236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574625" y="620016"/>
          <a:ext cx="1752600" cy="11135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4"/>
  <sheetViews>
    <sheetView tabSelected="1" topLeftCell="A26" zoomScale="115" zoomScaleNormal="115" workbookViewId="0">
      <selection activeCell="G39" sqref="G39"/>
    </sheetView>
  </sheetViews>
  <sheetFormatPr defaultRowHeight="15" x14ac:dyDescent="0.25"/>
  <cols>
    <col min="2" max="2" width="3.140625" style="25" customWidth="1"/>
    <col min="3" max="3" width="31.140625" bestFit="1" customWidth="1"/>
    <col min="4" max="4" width="18.85546875" bestFit="1" customWidth="1"/>
    <col min="5" max="5" width="19.140625" customWidth="1"/>
    <col min="6" max="6" width="25.28515625" bestFit="1" customWidth="1"/>
    <col min="7" max="7" width="17" bestFit="1" customWidth="1"/>
    <col min="8" max="8" width="16" bestFit="1" customWidth="1"/>
    <col min="9" max="9" width="9.7109375" bestFit="1" customWidth="1"/>
    <col min="10" max="10" width="8.7109375" bestFit="1" customWidth="1"/>
    <col min="11" max="11" width="17.28515625" bestFit="1" customWidth="1"/>
    <col min="12" max="12" width="26.85546875" bestFit="1" customWidth="1"/>
  </cols>
  <sheetData>
    <row r="1" spans="1:12" ht="15.75" thickBot="1" x14ac:dyDescent="0.3">
      <c r="A1" s="1"/>
      <c r="B1" s="19"/>
      <c r="C1" s="2"/>
      <c r="D1" s="2"/>
      <c r="E1" s="2"/>
      <c r="F1" s="2"/>
      <c r="G1" s="2"/>
      <c r="H1" s="2"/>
      <c r="I1" s="57"/>
      <c r="J1" s="57"/>
      <c r="K1" s="58"/>
    </row>
    <row r="2" spans="1:12" ht="32.25" thickBot="1" x14ac:dyDescent="0.3">
      <c r="A2" s="1"/>
      <c r="B2" s="20"/>
      <c r="C2" s="10" t="s">
        <v>0</v>
      </c>
      <c r="D2" s="10"/>
      <c r="E2" s="31" t="s">
        <v>7</v>
      </c>
      <c r="F2" s="11"/>
      <c r="G2" s="11"/>
      <c r="H2" s="3"/>
      <c r="I2" s="3"/>
      <c r="J2" s="3"/>
      <c r="K2" s="53"/>
      <c r="L2" s="54"/>
    </row>
    <row r="3" spans="1:12" x14ac:dyDescent="0.25">
      <c r="A3" s="1"/>
      <c r="B3" s="21"/>
      <c r="C3" s="12" t="s">
        <v>1</v>
      </c>
      <c r="D3" s="12"/>
      <c r="E3" s="32" t="s">
        <v>8</v>
      </c>
      <c r="F3" s="12"/>
      <c r="G3" s="12"/>
      <c r="H3" s="4"/>
      <c r="I3" s="4"/>
      <c r="J3" s="5"/>
      <c r="K3" s="5"/>
      <c r="L3" s="55"/>
    </row>
    <row r="4" spans="1:12" x14ac:dyDescent="0.25">
      <c r="A4" s="1"/>
      <c r="B4" s="21"/>
      <c r="C4" s="12" t="s">
        <v>2</v>
      </c>
      <c r="D4" s="12"/>
      <c r="E4" s="33" t="s">
        <v>8</v>
      </c>
      <c r="F4" s="13"/>
      <c r="G4" s="13"/>
      <c r="H4" s="6"/>
      <c r="I4" s="6"/>
      <c r="J4" s="5"/>
      <c r="K4" s="5"/>
      <c r="L4" s="56"/>
    </row>
    <row r="5" spans="1:12" x14ac:dyDescent="0.25">
      <c r="A5" s="1"/>
      <c r="B5" s="21"/>
      <c r="C5" s="12" t="s">
        <v>3</v>
      </c>
      <c r="D5" s="12"/>
      <c r="E5" s="34" t="s">
        <v>9</v>
      </c>
      <c r="F5" s="14"/>
      <c r="G5" s="14"/>
      <c r="H5" s="5"/>
      <c r="I5" s="5"/>
      <c r="J5" s="5"/>
      <c r="K5" s="5"/>
      <c r="L5" s="56"/>
    </row>
    <row r="6" spans="1:12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6"/>
    </row>
    <row r="7" spans="1:12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56"/>
    </row>
    <row r="8" spans="1:12" ht="15.75" thickBot="1" x14ac:dyDescent="0.3">
      <c r="A8" s="1"/>
      <c r="B8" s="35"/>
      <c r="C8" s="36"/>
      <c r="D8" s="36"/>
      <c r="E8" s="37"/>
      <c r="F8" s="17"/>
      <c r="G8" s="17"/>
      <c r="H8" s="7"/>
      <c r="I8" s="7"/>
      <c r="J8" s="7"/>
      <c r="K8" s="7"/>
      <c r="L8" s="56"/>
    </row>
    <row r="9" spans="1:12" ht="15.75" thickBot="1" x14ac:dyDescent="0.3">
      <c r="A9" s="1"/>
      <c r="B9" s="38" t="s">
        <v>4</v>
      </c>
      <c r="C9" s="38" t="s">
        <v>10</v>
      </c>
      <c r="D9" s="38" t="s">
        <v>34</v>
      </c>
      <c r="E9" s="38" t="s">
        <v>57</v>
      </c>
      <c r="F9" s="43" t="s">
        <v>74</v>
      </c>
      <c r="G9" s="38" t="s">
        <v>120</v>
      </c>
      <c r="H9" s="43" t="s">
        <v>87</v>
      </c>
      <c r="I9" s="38" t="s">
        <v>104</v>
      </c>
      <c r="J9" s="38" t="s">
        <v>119</v>
      </c>
      <c r="K9" s="38" t="s">
        <v>122</v>
      </c>
      <c r="L9" s="40" t="s">
        <v>123</v>
      </c>
    </row>
    <row r="10" spans="1:12" ht="26.25" thickBot="1" x14ac:dyDescent="0.3">
      <c r="A10" s="1"/>
      <c r="B10" s="38">
        <f>ROW(B10) - ROW($B$9)</f>
        <v>1</v>
      </c>
      <c r="C10" s="45" t="s">
        <v>11</v>
      </c>
      <c r="D10" s="45" t="s">
        <v>35</v>
      </c>
      <c r="E10" s="45" t="s">
        <v>58</v>
      </c>
      <c r="F10" s="46" t="s">
        <v>75</v>
      </c>
      <c r="G10" s="45" t="s">
        <v>129</v>
      </c>
      <c r="H10" s="46" t="s">
        <v>88</v>
      </c>
      <c r="I10" s="45" t="s">
        <v>105</v>
      </c>
      <c r="J10" s="45">
        <v>1</v>
      </c>
      <c r="K10" s="45">
        <f>J10*5</f>
        <v>5</v>
      </c>
      <c r="L10" s="41"/>
    </row>
    <row r="11" spans="1:12" ht="102.75" thickBot="1" x14ac:dyDescent="0.3">
      <c r="A11" s="1"/>
      <c r="B11" s="38">
        <f t="shared" ref="B11:B31" si="0">ROW(B11) - ROW($B$9)</f>
        <v>2</v>
      </c>
      <c r="C11" s="47" t="s">
        <v>12</v>
      </c>
      <c r="D11" s="47" t="s">
        <v>36</v>
      </c>
      <c r="E11" s="47" t="s">
        <v>121</v>
      </c>
      <c r="F11" s="48" t="s">
        <v>59</v>
      </c>
      <c r="G11" s="47" t="s">
        <v>129</v>
      </c>
      <c r="H11" s="48" t="s">
        <v>89</v>
      </c>
      <c r="I11" s="47" t="s">
        <v>106</v>
      </c>
      <c r="J11" s="47">
        <v>1</v>
      </c>
      <c r="K11" s="47">
        <f t="shared" ref="K11:K32" si="1">J11*5</f>
        <v>5</v>
      </c>
      <c r="L11" s="39"/>
    </row>
    <row r="12" spans="1:12" ht="26.25" thickBot="1" x14ac:dyDescent="0.3">
      <c r="A12" s="1"/>
      <c r="B12" s="38">
        <f>ROW(B12) - ROW($B$9)</f>
        <v>3</v>
      </c>
      <c r="C12" s="45" t="s">
        <v>13</v>
      </c>
      <c r="D12" s="45" t="s">
        <v>37</v>
      </c>
      <c r="E12" s="45" t="s">
        <v>60</v>
      </c>
      <c r="F12" s="46" t="s">
        <v>76</v>
      </c>
      <c r="G12" s="45" t="s">
        <v>129</v>
      </c>
      <c r="H12" s="46" t="s">
        <v>90</v>
      </c>
      <c r="I12" s="45" t="s">
        <v>107</v>
      </c>
      <c r="J12" s="45">
        <v>1</v>
      </c>
      <c r="K12" s="45">
        <f t="shared" si="1"/>
        <v>5</v>
      </c>
      <c r="L12" s="42"/>
    </row>
    <row r="13" spans="1:12" ht="26.25" thickBot="1" x14ac:dyDescent="0.3">
      <c r="A13" s="1"/>
      <c r="B13" s="38">
        <f t="shared" si="0"/>
        <v>4</v>
      </c>
      <c r="C13" s="47" t="s">
        <v>14</v>
      </c>
      <c r="D13" s="47" t="s">
        <v>38</v>
      </c>
      <c r="E13" s="47" t="s">
        <v>60</v>
      </c>
      <c r="F13" s="48" t="s">
        <v>77</v>
      </c>
      <c r="G13" s="47" t="s">
        <v>129</v>
      </c>
      <c r="H13" s="48" t="s">
        <v>90</v>
      </c>
      <c r="I13" s="47" t="s">
        <v>108</v>
      </c>
      <c r="J13" s="47">
        <v>2</v>
      </c>
      <c r="K13" s="47">
        <f t="shared" si="1"/>
        <v>10</v>
      </c>
      <c r="L13" s="39"/>
    </row>
    <row r="14" spans="1:12" ht="26.25" thickBot="1" x14ac:dyDescent="0.3">
      <c r="A14" s="1"/>
      <c r="B14" s="38">
        <f>ROW(B14) - ROW($B$9)</f>
        <v>5</v>
      </c>
      <c r="C14" s="45" t="s">
        <v>15</v>
      </c>
      <c r="D14" s="45" t="s">
        <v>39</v>
      </c>
      <c r="E14" s="45" t="s">
        <v>60</v>
      </c>
      <c r="F14" s="46" t="s">
        <v>78</v>
      </c>
      <c r="G14" s="45" t="s">
        <v>129</v>
      </c>
      <c r="H14" s="46" t="s">
        <v>90</v>
      </c>
      <c r="I14" s="45" t="s">
        <v>109</v>
      </c>
      <c r="J14" s="45">
        <v>1</v>
      </c>
      <c r="K14" s="45">
        <f t="shared" si="1"/>
        <v>5</v>
      </c>
      <c r="L14" s="42"/>
    </row>
    <row r="15" spans="1:12" ht="51.75" thickBot="1" x14ac:dyDescent="0.3">
      <c r="A15" s="1"/>
      <c r="B15" s="38">
        <f t="shared" si="0"/>
        <v>6</v>
      </c>
      <c r="C15" s="47" t="s">
        <v>16</v>
      </c>
      <c r="D15" s="47" t="s">
        <v>40</v>
      </c>
      <c r="E15" s="47" t="s">
        <v>61</v>
      </c>
      <c r="F15" s="48" t="s">
        <v>110</v>
      </c>
      <c r="G15" s="47" t="s">
        <v>129</v>
      </c>
      <c r="H15" s="48" t="s">
        <v>91</v>
      </c>
      <c r="I15" s="47" t="s">
        <v>124</v>
      </c>
      <c r="J15" s="47">
        <v>1</v>
      </c>
      <c r="K15" s="47">
        <f t="shared" si="1"/>
        <v>5</v>
      </c>
      <c r="L15" s="39"/>
    </row>
    <row r="16" spans="1:12" ht="26.25" thickBot="1" x14ac:dyDescent="0.3">
      <c r="A16" s="1"/>
      <c r="B16" s="38">
        <f>ROW(B16) - ROW($B$9)</f>
        <v>7</v>
      </c>
      <c r="C16" s="45" t="s">
        <v>17</v>
      </c>
      <c r="D16" s="45" t="s">
        <v>41</v>
      </c>
      <c r="E16" s="45" t="s">
        <v>62</v>
      </c>
      <c r="F16" s="46" t="s">
        <v>111</v>
      </c>
      <c r="G16" s="45" t="s">
        <v>129</v>
      </c>
      <c r="H16" s="46" t="s">
        <v>92</v>
      </c>
      <c r="I16" s="45" t="s">
        <v>128</v>
      </c>
      <c r="J16" s="45">
        <v>1</v>
      </c>
      <c r="K16" s="45">
        <f t="shared" si="1"/>
        <v>5</v>
      </c>
      <c r="L16" s="42"/>
    </row>
    <row r="17" spans="1:12" ht="64.5" thickBot="1" x14ac:dyDescent="0.3">
      <c r="A17" s="1"/>
      <c r="B17" s="38">
        <f t="shared" si="0"/>
        <v>8</v>
      </c>
      <c r="C17" s="47" t="s">
        <v>18</v>
      </c>
      <c r="D17" s="47" t="s">
        <v>42</v>
      </c>
      <c r="E17" s="47" t="s">
        <v>121</v>
      </c>
      <c r="F17" s="48" t="s">
        <v>63</v>
      </c>
      <c r="G17" s="47" t="s">
        <v>129</v>
      </c>
      <c r="H17" s="48" t="s">
        <v>93</v>
      </c>
      <c r="I17" s="47" t="s">
        <v>112</v>
      </c>
      <c r="J17" s="47">
        <v>1</v>
      </c>
      <c r="K17" s="47">
        <f t="shared" si="1"/>
        <v>5</v>
      </c>
      <c r="L17" s="39"/>
    </row>
    <row r="18" spans="1:12" ht="26.25" thickBot="1" x14ac:dyDescent="0.3">
      <c r="A18" s="1"/>
      <c r="B18" s="38">
        <f>ROW(B18) - ROW($B$9)</f>
        <v>9</v>
      </c>
      <c r="C18" s="45" t="s">
        <v>19</v>
      </c>
      <c r="D18" s="45" t="s">
        <v>43</v>
      </c>
      <c r="E18" s="45" t="s">
        <v>64</v>
      </c>
      <c r="F18" s="46" t="s">
        <v>79</v>
      </c>
      <c r="G18" s="45" t="s">
        <v>129</v>
      </c>
      <c r="H18" s="46" t="s">
        <v>93</v>
      </c>
      <c r="I18" s="45" t="s">
        <v>128</v>
      </c>
      <c r="J18" s="45">
        <v>1</v>
      </c>
      <c r="K18" s="45">
        <f t="shared" si="1"/>
        <v>5</v>
      </c>
      <c r="L18" s="42"/>
    </row>
    <row r="19" spans="1:12" ht="26.25" thickBot="1" x14ac:dyDescent="0.3">
      <c r="A19" s="1"/>
      <c r="B19" s="38">
        <f t="shared" si="0"/>
        <v>10</v>
      </c>
      <c r="C19" s="47" t="s">
        <v>20</v>
      </c>
      <c r="D19" s="47" t="s">
        <v>44</v>
      </c>
      <c r="E19" s="47" t="s">
        <v>65</v>
      </c>
      <c r="F19" s="51">
        <v>61300211121</v>
      </c>
      <c r="G19" s="47" t="s">
        <v>125</v>
      </c>
      <c r="H19" s="48" t="s">
        <v>94</v>
      </c>
      <c r="I19" s="47" t="s">
        <v>128</v>
      </c>
      <c r="J19" s="47">
        <v>10</v>
      </c>
      <c r="K19" s="47">
        <f t="shared" si="1"/>
        <v>50</v>
      </c>
      <c r="L19" s="39"/>
    </row>
    <row r="20" spans="1:12" ht="26.25" thickBot="1" x14ac:dyDescent="0.3">
      <c r="A20" s="1"/>
      <c r="B20" s="38">
        <f>ROW(B20) - ROW($B$9)</f>
        <v>11</v>
      </c>
      <c r="C20" s="45" t="s">
        <v>21</v>
      </c>
      <c r="D20" s="45" t="s">
        <v>45</v>
      </c>
      <c r="E20" s="45" t="s">
        <v>66</v>
      </c>
      <c r="F20" s="46" t="s">
        <v>80</v>
      </c>
      <c r="G20" s="45" t="s">
        <v>129</v>
      </c>
      <c r="H20" s="46" t="s">
        <v>95</v>
      </c>
      <c r="I20" s="52" t="s">
        <v>135</v>
      </c>
      <c r="J20" s="45">
        <v>4</v>
      </c>
      <c r="K20" s="45">
        <f t="shared" si="1"/>
        <v>20</v>
      </c>
      <c r="L20" s="42"/>
    </row>
    <row r="21" spans="1:12" ht="39" thickBot="1" x14ac:dyDescent="0.3">
      <c r="A21" s="1"/>
      <c r="B21" s="38">
        <f t="shared" si="0"/>
        <v>12</v>
      </c>
      <c r="C21" s="47" t="s">
        <v>22</v>
      </c>
      <c r="D21" s="47" t="s">
        <v>46</v>
      </c>
      <c r="E21" s="47" t="s">
        <v>67</v>
      </c>
      <c r="F21" s="48" t="s">
        <v>126</v>
      </c>
      <c r="G21" s="47" t="s">
        <v>129</v>
      </c>
      <c r="H21" s="48" t="s">
        <v>96</v>
      </c>
      <c r="I21" s="47" t="s">
        <v>113</v>
      </c>
      <c r="J21" s="47">
        <v>1</v>
      </c>
      <c r="K21" s="47">
        <f t="shared" si="1"/>
        <v>5</v>
      </c>
      <c r="L21" s="39"/>
    </row>
    <row r="22" spans="1:12" ht="26.25" thickBot="1" x14ac:dyDescent="0.3">
      <c r="A22" s="1"/>
      <c r="B22" s="38">
        <f>ROW(B22) - ROW($B$9)</f>
        <v>13</v>
      </c>
      <c r="C22" s="45" t="s">
        <v>23</v>
      </c>
      <c r="D22" s="45" t="s">
        <v>47</v>
      </c>
      <c r="E22" s="45" t="s">
        <v>67</v>
      </c>
      <c r="F22" s="46" t="s">
        <v>81</v>
      </c>
      <c r="G22" s="45" t="s">
        <v>129</v>
      </c>
      <c r="H22" s="46" t="s">
        <v>90</v>
      </c>
      <c r="I22" s="45" t="s">
        <v>114</v>
      </c>
      <c r="J22" s="45">
        <v>1</v>
      </c>
      <c r="K22" s="45">
        <f t="shared" si="1"/>
        <v>5</v>
      </c>
      <c r="L22" s="42"/>
    </row>
    <row r="23" spans="1:12" ht="26.25" thickBot="1" x14ac:dyDescent="0.3">
      <c r="A23" s="1"/>
      <c r="B23" s="38">
        <f t="shared" si="0"/>
        <v>14</v>
      </c>
      <c r="C23" s="47" t="s">
        <v>24</v>
      </c>
      <c r="D23" s="47" t="s">
        <v>48</v>
      </c>
      <c r="E23" s="47" t="s">
        <v>68</v>
      </c>
      <c r="F23" s="48" t="s">
        <v>82</v>
      </c>
      <c r="G23" s="47" t="s">
        <v>129</v>
      </c>
      <c r="H23" s="48" t="s">
        <v>90</v>
      </c>
      <c r="I23" s="47" t="s">
        <v>115</v>
      </c>
      <c r="J23" s="47">
        <v>4</v>
      </c>
      <c r="K23" s="47">
        <f t="shared" si="1"/>
        <v>20</v>
      </c>
      <c r="L23" s="39"/>
    </row>
    <row r="24" spans="1:12" ht="26.25" thickBot="1" x14ac:dyDescent="0.3">
      <c r="A24" s="1"/>
      <c r="B24" s="38">
        <f>ROW(B24) - ROW($B$9)</f>
        <v>15</v>
      </c>
      <c r="C24" s="45" t="s">
        <v>25</v>
      </c>
      <c r="D24" s="45" t="s">
        <v>49</v>
      </c>
      <c r="E24" s="45" t="s">
        <v>67</v>
      </c>
      <c r="F24" s="46" t="s">
        <v>83</v>
      </c>
      <c r="G24" s="45" t="s">
        <v>129</v>
      </c>
      <c r="H24" s="46" t="s">
        <v>97</v>
      </c>
      <c r="I24" s="45" t="s">
        <v>116</v>
      </c>
      <c r="J24" s="45">
        <v>5</v>
      </c>
      <c r="K24" s="45">
        <f t="shared" si="1"/>
        <v>25</v>
      </c>
      <c r="L24" s="42"/>
    </row>
    <row r="25" spans="1:12" ht="26.25" thickBot="1" x14ac:dyDescent="0.3">
      <c r="A25" s="1"/>
      <c r="B25" s="38">
        <f t="shared" si="0"/>
        <v>16</v>
      </c>
      <c r="C25" s="47" t="s">
        <v>26</v>
      </c>
      <c r="D25" s="47" t="s">
        <v>132</v>
      </c>
      <c r="E25" s="47" t="s">
        <v>133</v>
      </c>
      <c r="F25" s="48" t="s">
        <v>136</v>
      </c>
      <c r="G25" s="47" t="s">
        <v>129</v>
      </c>
      <c r="H25" s="48" t="s">
        <v>90</v>
      </c>
      <c r="I25" s="47" t="s">
        <v>134</v>
      </c>
      <c r="J25" s="47">
        <v>5</v>
      </c>
      <c r="K25" s="47">
        <f t="shared" si="1"/>
        <v>25</v>
      </c>
      <c r="L25" s="39"/>
    </row>
    <row r="26" spans="1:12" ht="26.25" thickBot="1" x14ac:dyDescent="0.3">
      <c r="A26" s="1"/>
      <c r="B26" s="38">
        <f>ROW(B26) - ROW($B$9)</f>
        <v>17</v>
      </c>
      <c r="C26" s="45" t="s">
        <v>27</v>
      </c>
      <c r="D26" s="45" t="s">
        <v>50</v>
      </c>
      <c r="E26" s="45" t="s">
        <v>67</v>
      </c>
      <c r="F26" s="46" t="s">
        <v>84</v>
      </c>
      <c r="G26" s="45" t="s">
        <v>129</v>
      </c>
      <c r="H26" s="46" t="s">
        <v>90</v>
      </c>
      <c r="I26" s="45" t="s">
        <v>117</v>
      </c>
      <c r="J26" s="45">
        <v>1</v>
      </c>
      <c r="K26" s="45">
        <f t="shared" si="1"/>
        <v>5</v>
      </c>
      <c r="L26" s="42"/>
    </row>
    <row r="27" spans="1:12" ht="77.25" thickBot="1" x14ac:dyDescent="0.3">
      <c r="A27" s="1"/>
      <c r="B27" s="38">
        <f t="shared" si="0"/>
        <v>18</v>
      </c>
      <c r="C27" s="47" t="s">
        <v>28</v>
      </c>
      <c r="D27" s="47" t="s">
        <v>51</v>
      </c>
      <c r="E27" s="47" t="s">
        <v>67</v>
      </c>
      <c r="F27" s="48" t="s">
        <v>127</v>
      </c>
      <c r="G27" s="47" t="s">
        <v>129</v>
      </c>
      <c r="H27" s="48" t="s">
        <v>98</v>
      </c>
      <c r="I27" s="47" t="s">
        <v>118</v>
      </c>
      <c r="J27" s="47">
        <v>1</v>
      </c>
      <c r="K27" s="47">
        <f t="shared" si="1"/>
        <v>5</v>
      </c>
      <c r="L27" s="39"/>
    </row>
    <row r="28" spans="1:12" ht="51.75" thickBot="1" x14ac:dyDescent="0.3">
      <c r="A28" s="1"/>
      <c r="B28" s="38">
        <f>ROW(B28) - ROW($B$9)</f>
        <v>19</v>
      </c>
      <c r="C28" s="45" t="s">
        <v>29</v>
      </c>
      <c r="D28" s="45" t="s">
        <v>52</v>
      </c>
      <c r="E28" s="45" t="s">
        <v>121</v>
      </c>
      <c r="F28" s="46" t="s">
        <v>69</v>
      </c>
      <c r="G28" s="45" t="s">
        <v>129</v>
      </c>
      <c r="H28" s="46" t="s">
        <v>99</v>
      </c>
      <c r="I28" s="45" t="s">
        <v>124</v>
      </c>
      <c r="J28" s="45">
        <v>1</v>
      </c>
      <c r="K28" s="45">
        <f t="shared" si="1"/>
        <v>5</v>
      </c>
      <c r="L28" s="42"/>
    </row>
    <row r="29" spans="1:12" ht="64.5" thickBot="1" x14ac:dyDescent="0.3">
      <c r="A29" s="1"/>
      <c r="B29" s="38">
        <f t="shared" si="0"/>
        <v>20</v>
      </c>
      <c r="C29" s="47" t="s">
        <v>30</v>
      </c>
      <c r="D29" s="47" t="s">
        <v>53</v>
      </c>
      <c r="E29" s="47" t="s">
        <v>70</v>
      </c>
      <c r="F29" s="48" t="s">
        <v>85</v>
      </c>
      <c r="G29" s="47" t="s">
        <v>129</v>
      </c>
      <c r="H29" s="48" t="s">
        <v>100</v>
      </c>
      <c r="I29" s="47" t="s">
        <v>124</v>
      </c>
      <c r="J29" s="47">
        <v>1</v>
      </c>
      <c r="K29" s="47">
        <f t="shared" si="1"/>
        <v>5</v>
      </c>
      <c r="L29" s="39"/>
    </row>
    <row r="30" spans="1:12" ht="26.25" thickBot="1" x14ac:dyDescent="0.3">
      <c r="A30" s="1"/>
      <c r="B30" s="38">
        <f>ROW(B30) - ROW($B$9)</f>
        <v>21</v>
      </c>
      <c r="C30" s="45" t="s">
        <v>31</v>
      </c>
      <c r="D30" s="45" t="s">
        <v>54</v>
      </c>
      <c r="E30" s="45" t="s">
        <v>71</v>
      </c>
      <c r="F30" s="46" t="s">
        <v>86</v>
      </c>
      <c r="G30" s="45" t="s">
        <v>129</v>
      </c>
      <c r="H30" s="46" t="s">
        <v>101</v>
      </c>
      <c r="I30" s="45" t="s">
        <v>124</v>
      </c>
      <c r="J30" s="45">
        <v>1</v>
      </c>
      <c r="K30" s="45">
        <f t="shared" si="1"/>
        <v>5</v>
      </c>
      <c r="L30" s="42"/>
    </row>
    <row r="31" spans="1:12" ht="26.25" thickBot="1" x14ac:dyDescent="0.3">
      <c r="A31" s="1"/>
      <c r="B31" s="38">
        <f t="shared" si="0"/>
        <v>22</v>
      </c>
      <c r="C31" s="47" t="s">
        <v>32</v>
      </c>
      <c r="D31" s="47" t="s">
        <v>55</v>
      </c>
      <c r="E31" s="47" t="s">
        <v>130</v>
      </c>
      <c r="F31" s="48" t="s">
        <v>72</v>
      </c>
      <c r="G31" s="47" t="s">
        <v>129</v>
      </c>
      <c r="H31" s="48" t="s">
        <v>102</v>
      </c>
      <c r="I31" s="47" t="s">
        <v>124</v>
      </c>
      <c r="J31" s="47">
        <v>1</v>
      </c>
      <c r="K31" s="47">
        <f t="shared" si="1"/>
        <v>5</v>
      </c>
      <c r="L31" s="39"/>
    </row>
    <row r="32" spans="1:12" ht="51.75" thickBot="1" x14ac:dyDescent="0.3">
      <c r="A32" s="1"/>
      <c r="B32" s="38">
        <f>ROW(B32) - ROW($B$9)</f>
        <v>23</v>
      </c>
      <c r="C32" s="49" t="s">
        <v>33</v>
      </c>
      <c r="D32" s="49" t="s">
        <v>56</v>
      </c>
      <c r="E32" s="49" t="s">
        <v>131</v>
      </c>
      <c r="F32" s="50" t="s">
        <v>73</v>
      </c>
      <c r="G32" s="49" t="s">
        <v>129</v>
      </c>
      <c r="H32" s="50" t="s">
        <v>103</v>
      </c>
      <c r="I32" s="49" t="s">
        <v>124</v>
      </c>
      <c r="J32" s="49">
        <v>1</v>
      </c>
      <c r="K32" s="49">
        <f t="shared" si="1"/>
        <v>5</v>
      </c>
      <c r="L32" s="44"/>
    </row>
    <row r="33" spans="1:12" x14ac:dyDescent="0.25">
      <c r="A33" s="1"/>
      <c r="B33" s="30"/>
      <c r="C33" s="26" t="s">
        <v>5</v>
      </c>
      <c r="D33" s="27"/>
      <c r="E33" s="28"/>
      <c r="F33" s="29"/>
      <c r="G33" s="29"/>
      <c r="H33" s="59"/>
      <c r="I33" s="59"/>
      <c r="J33" s="59"/>
      <c r="K33" s="59"/>
      <c r="L33" s="60"/>
    </row>
    <row r="34" spans="1:12" ht="15.75" thickBot="1" x14ac:dyDescent="0.3">
      <c r="A34" s="1"/>
      <c r="B34" s="24"/>
      <c r="C34" s="8" t="s">
        <v>6</v>
      </c>
      <c r="D34" s="9"/>
      <c r="E34" s="9"/>
      <c r="F34" s="9"/>
      <c r="G34" s="9"/>
      <c r="H34" s="61"/>
      <c r="I34" s="61"/>
      <c r="J34" s="61"/>
      <c r="K34" s="61"/>
      <c r="L34" s="62"/>
    </row>
  </sheetData>
  <mergeCells count="4">
    <mergeCell ref="K2:L2"/>
    <mergeCell ref="L3:L8"/>
    <mergeCell ref="I1:K1"/>
    <mergeCell ref="H33:L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2022-06-14T09:12:16Z</dcterms:modified>
</cp:coreProperties>
</file>